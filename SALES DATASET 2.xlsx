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2.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9674A16E-448C-4971-AAB6-266B4014F317}" xr6:coauthVersionLast="47" xr6:coauthVersionMax="47" xr10:uidLastSave="{00000000-0000-0000-0000-000000000000}"/>
  <bookViews>
    <workbookView xWindow="-120" yWindow="-120" windowWidth="20730" windowHeight="11160" activeTab="4" xr2:uid="{DD6B2619-8BF1-42B2-ACC2-EFF0253D2629}"/>
  </bookViews>
  <sheets>
    <sheet name="pivot table " sheetId="15" r:id="rId1"/>
    <sheet name="raw data " sheetId="1" r:id="rId2"/>
    <sheet name="real pivot table" sheetId="10" r:id="rId3"/>
    <sheet name="Dashboard " sheetId="11" r:id="rId4"/>
    <sheet name="DASHBOARD 2" sheetId="12" r:id="rId5"/>
    <sheet name="raw data 2" sheetId="8" r:id="rId6"/>
    <sheet name="icon" sheetId="16" r:id="rId7"/>
  </sheets>
  <definedNames>
    <definedName name="NativeTimeline_Order_Date">#N/A</definedName>
    <definedName name="NativeTimeline_Order_Date1">#N/A</definedName>
    <definedName name="Slicer_Gender">#N/A</definedName>
    <definedName name="Slicer_Gender2">#N/A</definedName>
    <definedName name="Slicer_Payment_Method">#N/A</definedName>
    <definedName name="Slicer_Payment_Method2">#N/A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 r:id="rId15"/>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51" i="8" l="1"/>
  <c r="K150" i="8"/>
  <c r="K149" i="8"/>
  <c r="K148" i="8"/>
  <c r="K147" i="8"/>
  <c r="K146" i="8"/>
  <c r="K145" i="8"/>
  <c r="K144" i="8"/>
  <c r="K143" i="8"/>
  <c r="K142" i="8"/>
  <c r="K141" i="8"/>
  <c r="K140" i="8"/>
  <c r="K139" i="8"/>
  <c r="K138" i="8"/>
  <c r="K137" i="8"/>
  <c r="K136" i="8"/>
  <c r="K135" i="8"/>
  <c r="K134" i="8"/>
  <c r="K133" i="8"/>
  <c r="K132" i="8"/>
  <c r="K131" i="8"/>
  <c r="K130" i="8"/>
  <c r="K129" i="8"/>
  <c r="K128" i="8"/>
  <c r="K127" i="8"/>
  <c r="K126" i="8"/>
  <c r="K125" i="8"/>
  <c r="K124" i="8"/>
  <c r="K123" i="8"/>
  <c r="K122" i="8"/>
  <c r="K121" i="8"/>
  <c r="K120" i="8"/>
  <c r="K119" i="8"/>
  <c r="K118" i="8"/>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K3" i="8"/>
  <c r="K2" i="8"/>
</calcChain>
</file>

<file path=xl/sharedStrings.xml><?xml version="1.0" encoding="utf-8"?>
<sst xmlns="http://schemas.openxmlformats.org/spreadsheetml/2006/main" count="2479" uniqueCount="222">
  <si>
    <t>Order_ID</t>
  </si>
  <si>
    <t>Customer_Name</t>
  </si>
  <si>
    <t>Gender</t>
  </si>
  <si>
    <t>Region</t>
  </si>
  <si>
    <t>Product_Category</t>
  </si>
  <si>
    <t>Product_Name</t>
  </si>
  <si>
    <t>Quantity</t>
  </si>
  <si>
    <t>Unit_Price</t>
  </si>
  <si>
    <t>Total_Sales</t>
  </si>
  <si>
    <t>Order_Date</t>
  </si>
  <si>
    <t>Payment_Method</t>
  </si>
  <si>
    <t>Sales_Rep</t>
  </si>
  <si>
    <t>ORD001</t>
  </si>
  <si>
    <t>John</t>
  </si>
  <si>
    <t>M</t>
  </si>
  <si>
    <t>Lagos</t>
  </si>
  <si>
    <t>Fashion</t>
  </si>
  <si>
    <t>Shirt</t>
  </si>
  <si>
    <t>cash</t>
  </si>
  <si>
    <t>Tolu</t>
  </si>
  <si>
    <t>ORD002</t>
  </si>
  <si>
    <t>Sarah</t>
  </si>
  <si>
    <t>F</t>
  </si>
  <si>
    <t>Groceries</t>
  </si>
  <si>
    <t>Milk</t>
  </si>
  <si>
    <t>Femi</t>
  </si>
  <si>
    <t>ORD003</t>
  </si>
  <si>
    <t>Michael</t>
  </si>
  <si>
    <t>Ibadan</t>
  </si>
  <si>
    <t>Amaka</t>
  </si>
  <si>
    <t>ORD004</t>
  </si>
  <si>
    <t>Daniel</t>
  </si>
  <si>
    <t>Kano</t>
  </si>
  <si>
    <t>Electronics</t>
  </si>
  <si>
    <t>Phone</t>
  </si>
  <si>
    <t>POS</t>
  </si>
  <si>
    <t>ORD005</t>
  </si>
  <si>
    <t>lagos</t>
  </si>
  <si>
    <t>Cash</t>
  </si>
  <si>
    <t>ORD006</t>
  </si>
  <si>
    <t>Esther</t>
  </si>
  <si>
    <t>NOT GIVEN</t>
  </si>
  <si>
    <t>Joy</t>
  </si>
  <si>
    <t>ORD007</t>
  </si>
  <si>
    <t>Home Appliances</t>
  </si>
  <si>
    <t>Fan</t>
  </si>
  <si>
    <t>ORD008</t>
  </si>
  <si>
    <t>James</t>
  </si>
  <si>
    <t>Oil</t>
  </si>
  <si>
    <t>ORD009</t>
  </si>
  <si>
    <t>ORD010</t>
  </si>
  <si>
    <t>ORD011</t>
  </si>
  <si>
    <t>Not given</t>
  </si>
  <si>
    <t>Rice</t>
  </si>
  <si>
    <t>Transfer</t>
  </si>
  <si>
    <t>ORD012</t>
  </si>
  <si>
    <t>Ahmed</t>
  </si>
  <si>
    <t>ORD013</t>
  </si>
  <si>
    <t>ORD014</t>
  </si>
  <si>
    <t>Abuja</t>
  </si>
  <si>
    <t>Laptop</t>
  </si>
  <si>
    <t>ORD015</t>
  </si>
  <si>
    <t>Blender</t>
  </si>
  <si>
    <t>ORD016</t>
  </si>
  <si>
    <t>Mary</t>
  </si>
  <si>
    <t>ORD017</t>
  </si>
  <si>
    <t>ORD018</t>
  </si>
  <si>
    <t>ORD019</t>
  </si>
  <si>
    <t>Port Harcourt</t>
  </si>
  <si>
    <t>ORD020</t>
  </si>
  <si>
    <t>ORD021</t>
  </si>
  <si>
    <t>Deborah</t>
  </si>
  <si>
    <t>Headset</t>
  </si>
  <si>
    <t>CASH</t>
  </si>
  <si>
    <t>ORD022</t>
  </si>
  <si>
    <t>David</t>
  </si>
  <si>
    <t>ORD023</t>
  </si>
  <si>
    <t>ORD024</t>
  </si>
  <si>
    <t>ORD025</t>
  </si>
  <si>
    <t>ORD026</t>
  </si>
  <si>
    <t>ORD027</t>
  </si>
  <si>
    <t>ORD028</t>
  </si>
  <si>
    <t>Grace</t>
  </si>
  <si>
    <t>ABUJA</t>
  </si>
  <si>
    <t>ORD029</t>
  </si>
  <si>
    <t>ORD030</t>
  </si>
  <si>
    <t>ORD031</t>
  </si>
  <si>
    <t>ORD032</t>
  </si>
  <si>
    <t>ORD033</t>
  </si>
  <si>
    <t>ORD034</t>
  </si>
  <si>
    <t>ORD035</t>
  </si>
  <si>
    <t>Microwave</t>
  </si>
  <si>
    <t>ORD036</t>
  </si>
  <si>
    <t>ORD037</t>
  </si>
  <si>
    <t>ORD038</t>
  </si>
  <si>
    <t>ORD039</t>
  </si>
  <si>
    <t>ORD040</t>
  </si>
  <si>
    <t>ORD041</t>
  </si>
  <si>
    <t>Bag</t>
  </si>
  <si>
    <t>ORD042</t>
  </si>
  <si>
    <t>ORD043</t>
  </si>
  <si>
    <t>ORD044</t>
  </si>
  <si>
    <t>ORD045</t>
  </si>
  <si>
    <t>ORD046</t>
  </si>
  <si>
    <t>ORD047</t>
  </si>
  <si>
    <t>ORD048</t>
  </si>
  <si>
    <t>ORD049</t>
  </si>
  <si>
    <t>ORD050</t>
  </si>
  <si>
    <t>ORD051</t>
  </si>
  <si>
    <t>ORD052</t>
  </si>
  <si>
    <t>ORD053</t>
  </si>
  <si>
    <t>ORD054</t>
  </si>
  <si>
    <t>ORD055</t>
  </si>
  <si>
    <t>ORD056</t>
  </si>
  <si>
    <t>ORD057</t>
  </si>
  <si>
    <t>Shoes</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</si>
  <si>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</si>
  <si>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</si>
  <si>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</si>
  <si>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</si>
  <si>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</si>
  <si>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</si>
  <si>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</si>
  <si>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</si>
  <si>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</si>
  <si>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</si>
  <si>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</si>
  <si>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</si>
  <si>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</si>
  <si>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</si>
  <si>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</si>
  <si>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</si>
  <si>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</si>
  <si>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</si>
  <si>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</si>
  <si>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</si>
  <si>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</si>
  <si>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</si>
  <si>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</si>
  <si>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</si>
  <si>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</si>
  <si>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</si>
  <si>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</si>
  <si>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</si>
  <si>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</si>
  <si>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</si>
  <si>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</si>
  <si>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</si>
  <si>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</si>
  <si>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</si>
  <si>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</si>
  <si>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</si>
  <si>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</si>
  <si>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</si>
  <si>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</si>
  <si>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</si>
  <si>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</si>
  <si>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</si>
  <si>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</si>
  <si>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</si>
  <si>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</si>
  <si>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</si>
  <si>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</si>
  <si>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</si>
  <si>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</si>
  <si>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</si>
  <si>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</si>
  <si>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</si>
  <si>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</si>
  <si>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</si>
  <si>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</si>
  <si>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</si>
  <si>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</si>
  <si>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</si>
  <si>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</si>
  <si>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</si>
  <si>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</si>
  <si>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</si>
  <si>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</si>
  <si>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</si>
  <si>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</si>
  <si>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</si>
  <si>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</si>
  <si>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</si>
  <si>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</si>
  <si>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</si>
  <si>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</si>
  <si>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</si>
  <si>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</si>
  <si>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</si>
  <si>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</si>
  <si>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</si>
  <si>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</si>
  <si>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</si>
  <si>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</si>
  <si>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</si>
  <si>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</si>
  <si>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</si>
  <si>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</si>
  <si>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</si>
  <si>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</si>
  <si>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</si>
  <si>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</si>
  <si>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</si>
  <si>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</si>
  <si>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</si>
  <si>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</si>
  <si>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</si>
  <si>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</si>
  <si>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Total Order</t>
  </si>
  <si>
    <t>Total Sales</t>
  </si>
  <si>
    <t>Total Quantity Sold</t>
  </si>
  <si>
    <t>Row Labels</t>
  </si>
  <si>
    <t>Grand Total</t>
  </si>
  <si>
    <t>Months</t>
  </si>
  <si>
    <t>Total Order Recieved</t>
  </si>
  <si>
    <t>Total Revenue Generated</t>
  </si>
  <si>
    <t xml:space="preserve"> </t>
  </si>
  <si>
    <t>Sum of Total_Sales</t>
  </si>
  <si>
    <t>Total order Recieved</t>
  </si>
  <si>
    <t>Total sales</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</si>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</sst>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_-[$₦-46A]* #,##0.00_-;\-[$₦-46A]* #,##0.00_-;_-[$₦-46A]*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49" fontId="0" fillId="0" borderId="0" xfId="0" applyNumberFormat="1"/>
    <xf numFmtId="1" fontId="0" fillId="0" borderId="0" xfId="0" applyNumberForma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25">
    <dxf>
      <numFmt numFmtId="30" formatCode="@"/>
    </dxf>
    <dxf>
      <numFmt numFmtId="30" formatCode="@"/>
    </dxf>
    <dxf>
      <numFmt numFmtId="19" formatCode="m/d/yyyy"/>
    </dxf>
    <dxf>
      <numFmt numFmtId="19" formatCode="m/d/yyyy"/>
    </dxf>
    <dxf>
      <numFmt numFmtId="165" formatCode="_-[$₦-46A]* #,##0.00_-;\-[$₦-46A]* #,##0.00_-;_-[$₦-46A]* &quot;-&quot;??_-;_-@_-"/>
    </dxf>
    <dxf>
      <numFmt numFmtId="165" formatCode="_-[$₦-46A]* #,##0.00_-;\-[$₦-46A]* #,##0.00_-;_-[$₦-46A]* &quot;-&quot;??_-;_-@_-"/>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m/d/yyyy"/>
    </dxf>
    <dxf>
      <numFmt numFmtId="164" formatCode="&quot;$&quot;#,##0.00"/>
    </dxf>
    <dxf>
      <numFmt numFmtId="164" formatCode="&quot;$&quot;#,##0.00"/>
    </dxf>
    <dxf>
      <numFmt numFmtId="1" formatCode="0"/>
    </dxf>
    <dxf>
      <numFmt numFmtId="30" formatCode="@"/>
    </dxf>
    <dxf>
      <numFmt numFmtId="30" formatCode="@"/>
    </dxf>
    <dxf>
      <numFmt numFmtId="30" formatCode="@"/>
    </dxf>
    <dxf>
      <numFmt numFmtId="30" formatCode="@"/>
    </dxf>
    <dxf>
      <numFmt numFmtId="30" formatCode="@"/>
    </dxf>
    <dxf>
      <numFmt numFmtId="30" formatCode="@"/>
    </dxf>
  </dxfs>
  <tableStyles count="1" defaultTableStyle="TableStyleMedium2" defaultPivotStyle="PivotStyleLight16">
    <tableStyle name="Invisible" pivot="0" table="0" count="0" xr9:uid="{1BC381A1-41C3-48C3-82DB-A0FED9F1B4A2}"/>
  </tableStyles>
  <colors>
    <mruColors>
      <color rgb="FF5982CB"/>
      <color rgb="FF170E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1/relationships/timelineCache" Target="timelineCaches/timelineCache2.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2.xlsx]pivot table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Regional</a:t>
            </a:r>
            <a:r>
              <a:rPr lang="en-US" baseline="0">
                <a:solidFill>
                  <a:schemeClr val="tx1"/>
                </a:solidFill>
              </a:rPr>
              <a:t> order</a:t>
            </a:r>
            <a:endParaRPr lang="en-US">
              <a:solidFill>
                <a:schemeClr val="tx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'!$B$9</c:f>
              <c:strCache>
                <c:ptCount val="1"/>
                <c:pt idx="0">
                  <c:v>Total</c:v>
                </c:pt>
              </c:strCache>
            </c:strRef>
          </c:tx>
          <c:spPr>
            <a:ln w="28575" cap="rnd">
              <a:solidFill>
                <a:schemeClr val="accent1"/>
              </a:solidFill>
              <a:round/>
            </a:ln>
            <a:effectLst/>
          </c:spPr>
          <c:marker>
            <c:symbol val="none"/>
          </c:marker>
          <c:cat>
            <c:strRef>
              <c:f>'pivot table '!$A$10:$A$16</c:f>
              <c:strCache>
                <c:ptCount val="6"/>
                <c:pt idx="0">
                  <c:v>Abuja</c:v>
                </c:pt>
                <c:pt idx="1">
                  <c:v>Ibadan</c:v>
                </c:pt>
                <c:pt idx="2">
                  <c:v>Kano</c:v>
                </c:pt>
                <c:pt idx="3">
                  <c:v>Lagos</c:v>
                </c:pt>
                <c:pt idx="4">
                  <c:v>NOT GIVEN</c:v>
                </c:pt>
                <c:pt idx="5">
                  <c:v>Port Harcourt</c:v>
                </c:pt>
              </c:strCache>
            </c:strRef>
          </c:cat>
          <c:val>
            <c:numRef>
              <c:f>'pivot table '!$B$10:$B$16</c:f>
              <c:numCache>
                <c:formatCode>General</c:formatCode>
                <c:ptCount val="6"/>
                <c:pt idx="0">
                  <c:v>35</c:v>
                </c:pt>
                <c:pt idx="1">
                  <c:v>24</c:v>
                </c:pt>
                <c:pt idx="2">
                  <c:v>25</c:v>
                </c:pt>
                <c:pt idx="3">
                  <c:v>45</c:v>
                </c:pt>
                <c:pt idx="4">
                  <c:v>1</c:v>
                </c:pt>
                <c:pt idx="5">
                  <c:v>20</c:v>
                </c:pt>
              </c:numCache>
            </c:numRef>
          </c:val>
          <c:smooth val="0"/>
          <c:extLst>
            <c:ext xmlns:c16="http://schemas.microsoft.com/office/drawing/2014/chart" uri="{C3380CC4-5D6E-409C-BE32-E72D297353CC}">
              <c16:uniqueId val="{00000002-D778-4B6E-ADB8-2808C4678FD7}"/>
            </c:ext>
          </c:extLst>
        </c:ser>
        <c:dLbls>
          <c:showLegendKey val="0"/>
          <c:showVal val="0"/>
          <c:showCatName val="0"/>
          <c:showSerName val="0"/>
          <c:showPercent val="0"/>
          <c:showBubbleSize val="0"/>
        </c:dLbls>
        <c:smooth val="0"/>
        <c:axId val="987668496"/>
        <c:axId val="987667056"/>
      </c:lineChart>
      <c:catAx>
        <c:axId val="98766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667056"/>
        <c:crosses val="autoZero"/>
        <c:auto val="1"/>
        <c:lblAlgn val="ctr"/>
        <c:lblOffset val="100"/>
        <c:noMultiLvlLbl val="0"/>
      </c:catAx>
      <c:valAx>
        <c:axId val="987667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66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2.xlsx]pivot table !PivotTable6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Product</a:t>
            </a:r>
            <a:r>
              <a:rPr lang="en-US" b="1" baseline="0">
                <a:solidFill>
                  <a:schemeClr val="tx1"/>
                </a:solidFill>
              </a:rPr>
              <a:t> Category by Order</a:t>
            </a:r>
            <a:endParaRPr lang="en-US" b="1">
              <a:solidFill>
                <a:schemeClr val="tx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'!$B$24</c:f>
              <c:strCache>
                <c:ptCount val="1"/>
                <c:pt idx="0">
                  <c:v>Total</c:v>
                </c:pt>
              </c:strCache>
            </c:strRef>
          </c:tx>
          <c:spPr>
            <a:solidFill>
              <a:schemeClr val="accent1"/>
            </a:solidFill>
            <a:ln>
              <a:noFill/>
            </a:ln>
            <a:effectLst/>
          </c:spPr>
          <c:invertIfNegative val="0"/>
          <c:cat>
            <c:strRef>
              <c:f>'pivot table '!$A$25:$A$29</c:f>
              <c:strCache>
                <c:ptCount val="4"/>
                <c:pt idx="0">
                  <c:v>Electronics</c:v>
                </c:pt>
                <c:pt idx="1">
                  <c:v>Fashion</c:v>
                </c:pt>
                <c:pt idx="2">
                  <c:v>Groceries</c:v>
                </c:pt>
                <c:pt idx="3">
                  <c:v>Home Appliances</c:v>
                </c:pt>
              </c:strCache>
            </c:strRef>
          </c:cat>
          <c:val>
            <c:numRef>
              <c:f>'pivot table '!$B$25:$B$29</c:f>
              <c:numCache>
                <c:formatCode>General</c:formatCode>
                <c:ptCount val="4"/>
                <c:pt idx="0">
                  <c:v>50</c:v>
                </c:pt>
                <c:pt idx="1">
                  <c:v>28</c:v>
                </c:pt>
                <c:pt idx="2">
                  <c:v>30</c:v>
                </c:pt>
                <c:pt idx="3">
                  <c:v>42</c:v>
                </c:pt>
              </c:numCache>
            </c:numRef>
          </c:val>
          <c:extLst>
            <c:ext xmlns:c16="http://schemas.microsoft.com/office/drawing/2014/chart" uri="{C3380CC4-5D6E-409C-BE32-E72D297353CC}">
              <c16:uniqueId val="{00000000-1E7C-40F7-BF22-BBC89446D4AD}"/>
            </c:ext>
          </c:extLst>
        </c:ser>
        <c:dLbls>
          <c:showLegendKey val="0"/>
          <c:showVal val="0"/>
          <c:showCatName val="0"/>
          <c:showSerName val="0"/>
          <c:showPercent val="0"/>
          <c:showBubbleSize val="0"/>
        </c:dLbls>
        <c:gapWidth val="219"/>
        <c:overlap val="-27"/>
        <c:axId val="1646107744"/>
        <c:axId val="1646127904"/>
      </c:barChart>
      <c:catAx>
        <c:axId val="164610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27904"/>
        <c:crosses val="autoZero"/>
        <c:auto val="1"/>
        <c:lblAlgn val="ctr"/>
        <c:lblOffset val="100"/>
        <c:noMultiLvlLbl val="0"/>
      </c:catAx>
      <c:valAx>
        <c:axId val="1646127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0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2.xlsx]pivot table !PivotTable7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 Customer By</a:t>
            </a:r>
            <a:r>
              <a:rPr lang="en-US" b="1" baseline="0">
                <a:solidFill>
                  <a:schemeClr val="tx1"/>
                </a:solidFill>
              </a:rPr>
              <a:t> Sales</a:t>
            </a:r>
            <a:endParaRPr lang="en-US" b="1">
              <a:solidFill>
                <a:schemeClr val="tx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'!$B$40</c:f>
              <c:strCache>
                <c:ptCount val="1"/>
                <c:pt idx="0">
                  <c:v>Total</c:v>
                </c:pt>
              </c:strCache>
            </c:strRef>
          </c:tx>
          <c:spPr>
            <a:solidFill>
              <a:schemeClr val="accent1"/>
            </a:solidFill>
            <a:ln>
              <a:noFill/>
            </a:ln>
            <a:effectLst/>
          </c:spPr>
          <c:invertIfNegative val="0"/>
          <c:cat>
            <c:strRef>
              <c:f>'pivot table '!$A$41:$A$46</c:f>
              <c:strCache>
                <c:ptCount val="5"/>
                <c:pt idx="0">
                  <c:v>Deborah</c:v>
                </c:pt>
                <c:pt idx="1">
                  <c:v>David</c:v>
                </c:pt>
                <c:pt idx="2">
                  <c:v>Grace</c:v>
                </c:pt>
                <c:pt idx="3">
                  <c:v>Michael</c:v>
                </c:pt>
                <c:pt idx="4">
                  <c:v>James</c:v>
                </c:pt>
              </c:strCache>
            </c:strRef>
          </c:cat>
          <c:val>
            <c:numRef>
              <c:f>'pivot table '!$B$41:$B$46</c:f>
              <c:numCache>
                <c:formatCode>"$"#,##0.00</c:formatCode>
                <c:ptCount val="5"/>
                <c:pt idx="0">
                  <c:v>29761.979999999996</c:v>
                </c:pt>
                <c:pt idx="1">
                  <c:v>26932.639999999999</c:v>
                </c:pt>
                <c:pt idx="2">
                  <c:v>25201.380000000005</c:v>
                </c:pt>
                <c:pt idx="3">
                  <c:v>24127.050000000003</c:v>
                </c:pt>
                <c:pt idx="4">
                  <c:v>22383.9</c:v>
                </c:pt>
              </c:numCache>
            </c:numRef>
          </c:val>
          <c:extLst>
            <c:ext xmlns:c16="http://schemas.microsoft.com/office/drawing/2014/chart" uri="{C3380CC4-5D6E-409C-BE32-E72D297353CC}">
              <c16:uniqueId val="{00000000-CF8C-4576-AD0F-FE85E583B7E9}"/>
            </c:ext>
          </c:extLst>
        </c:ser>
        <c:dLbls>
          <c:showLegendKey val="0"/>
          <c:showVal val="0"/>
          <c:showCatName val="0"/>
          <c:showSerName val="0"/>
          <c:showPercent val="0"/>
          <c:showBubbleSize val="0"/>
        </c:dLbls>
        <c:gapWidth val="219"/>
        <c:overlap val="-27"/>
        <c:axId val="1646105824"/>
        <c:axId val="1646128864"/>
      </c:barChart>
      <c:catAx>
        <c:axId val="164610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28864"/>
        <c:crosses val="autoZero"/>
        <c:auto val="1"/>
        <c:lblAlgn val="ctr"/>
        <c:lblOffset val="100"/>
        <c:noMultiLvlLbl val="0"/>
      </c:catAx>
      <c:valAx>
        <c:axId val="164612886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0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2.xlsx]pivot table !PivotTable8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Sales Representative</a:t>
            </a:r>
            <a:endParaRPr lang="en-US" b="1">
              <a:solidFill>
                <a:schemeClr val="tx1"/>
              </a:solidFill>
            </a:endParaRPr>
          </a:p>
        </c:rich>
      </c:tx>
      <c:overlay val="0"/>
      <c:spPr>
        <a:solidFill>
          <a:schemeClr val="accent1">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'!$B$56</c:f>
              <c:strCache>
                <c:ptCount val="1"/>
                <c:pt idx="0">
                  <c:v>Total</c:v>
                </c:pt>
              </c:strCache>
            </c:strRef>
          </c:tx>
          <c:spPr>
            <a:solidFill>
              <a:schemeClr val="accent1"/>
            </a:solidFill>
            <a:ln>
              <a:noFill/>
            </a:ln>
            <a:effectLst/>
          </c:spPr>
          <c:invertIfNegative val="0"/>
          <c:cat>
            <c:strRef>
              <c:f>'pivot table '!$A$57:$A$62</c:f>
              <c:strCache>
                <c:ptCount val="5"/>
                <c:pt idx="0">
                  <c:v>Ahmed</c:v>
                </c:pt>
                <c:pt idx="1">
                  <c:v>Amaka</c:v>
                </c:pt>
                <c:pt idx="2">
                  <c:v>Femi</c:v>
                </c:pt>
                <c:pt idx="3">
                  <c:v>Joy</c:v>
                </c:pt>
                <c:pt idx="4">
                  <c:v>Tolu</c:v>
                </c:pt>
              </c:strCache>
            </c:strRef>
          </c:cat>
          <c:val>
            <c:numRef>
              <c:f>'pivot table '!$B$57:$B$62</c:f>
              <c:numCache>
                <c:formatCode>"$"#,##0.00</c:formatCode>
                <c:ptCount val="5"/>
                <c:pt idx="0">
                  <c:v>50318.17</c:v>
                </c:pt>
                <c:pt idx="1">
                  <c:v>42660.700000000019</c:v>
                </c:pt>
                <c:pt idx="2">
                  <c:v>38904.42</c:v>
                </c:pt>
                <c:pt idx="3">
                  <c:v>44053.27</c:v>
                </c:pt>
                <c:pt idx="4">
                  <c:v>34104.699999999997</c:v>
                </c:pt>
              </c:numCache>
            </c:numRef>
          </c:val>
          <c:extLst>
            <c:ext xmlns:c16="http://schemas.microsoft.com/office/drawing/2014/chart" uri="{C3380CC4-5D6E-409C-BE32-E72D297353CC}">
              <c16:uniqueId val="{00000000-9331-4A4B-9615-38498D854FBC}"/>
            </c:ext>
          </c:extLst>
        </c:ser>
        <c:dLbls>
          <c:showLegendKey val="0"/>
          <c:showVal val="0"/>
          <c:showCatName val="0"/>
          <c:showSerName val="0"/>
          <c:showPercent val="0"/>
          <c:showBubbleSize val="0"/>
        </c:dLbls>
        <c:gapWidth val="219"/>
        <c:overlap val="-27"/>
        <c:axId val="1646082304"/>
        <c:axId val="1646100544"/>
      </c:barChart>
      <c:catAx>
        <c:axId val="164608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00544"/>
        <c:crosses val="autoZero"/>
        <c:auto val="1"/>
        <c:lblAlgn val="ctr"/>
        <c:lblOffset val="100"/>
        <c:noMultiLvlLbl val="0"/>
      </c:catAx>
      <c:valAx>
        <c:axId val="164610054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08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2.xlsx]real pivot table!PivotTable15</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latin typeface="Times New Roman" panose="02020603050405020304" pitchFamily="18" charset="0"/>
                <a:cs typeface="Times New Roman" panose="02020603050405020304" pitchFamily="18" charset="0"/>
              </a:rPr>
              <a:t>Monthly Sales Trend</a:t>
            </a:r>
            <a:r>
              <a:rPr lang="en-US" sz="1600" b="1" baseline="0">
                <a:solidFill>
                  <a:schemeClr val="bg1"/>
                </a:solidFill>
                <a:latin typeface="Times New Roman" panose="02020603050405020304" pitchFamily="18" charset="0"/>
                <a:cs typeface="Times New Roman" panose="02020603050405020304" pitchFamily="18" charset="0"/>
              </a:rPr>
              <a:t> </a:t>
            </a:r>
            <a:endParaRPr lang="en-US" sz="1600" b="1">
              <a:solidFill>
                <a:schemeClr val="bg1"/>
              </a:solidFill>
              <a:latin typeface="Times New Roman" panose="02020603050405020304" pitchFamily="18" charset="0"/>
              <a:cs typeface="Times New Roman" panose="02020603050405020304" pitchFamily="18" charset="0"/>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'real pivot table'!$B$7</c:f>
              <c:strCache>
                <c:ptCount val="1"/>
                <c:pt idx="0">
                  <c:v>Total</c:v>
                </c:pt>
              </c:strCache>
            </c:strRef>
          </c:tx>
          <c:spPr>
            <a:ln w="28575" cap="rnd">
              <a:solidFill>
                <a:schemeClr val="accent1"/>
              </a:solidFill>
              <a:round/>
            </a:ln>
            <a:effectLst/>
          </c:spPr>
          <c:marker>
            <c:symbol val="none"/>
          </c:marker>
          <c:cat>
            <c:strRef>
              <c:f>'real pivot table'!$A$8</c:f>
              <c:strCache>
                <c:ptCount val="1"/>
                <c:pt idx="0">
                  <c:v>Grand Total</c:v>
                </c:pt>
              </c:strCache>
            </c:strRef>
          </c:cat>
          <c:val>
            <c:numRef>
              <c:f>'real pivot table'!$B$8</c:f>
              <c:numCache>
                <c:formatCode>_-[$₦-46A]* #,##0.00_-;\-[$₦-46A]* #,##0.00_-;_-[$₦-46A]* "-"??_-;_-@_-</c:formatCode>
                <c:ptCount val="1"/>
              </c:numCache>
            </c:numRef>
          </c:val>
          <c:smooth val="0"/>
          <c:extLst>
            <c:ext xmlns:c16="http://schemas.microsoft.com/office/drawing/2014/chart" uri="{C3380CC4-5D6E-409C-BE32-E72D297353CC}">
              <c16:uniqueId val="{00000000-B313-46A3-B9E5-461147CF782F}"/>
            </c:ext>
          </c:extLst>
        </c:ser>
        <c:dLbls>
          <c:showLegendKey val="0"/>
          <c:showVal val="0"/>
          <c:showCatName val="0"/>
          <c:showSerName val="0"/>
          <c:showPercent val="0"/>
          <c:showBubbleSize val="0"/>
        </c:dLbls>
        <c:smooth val="0"/>
        <c:axId val="221387488"/>
        <c:axId val="221373088"/>
      </c:lineChart>
      <c:catAx>
        <c:axId val="22138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73088"/>
        <c:crosses val="autoZero"/>
        <c:auto val="1"/>
        <c:lblAlgn val="ctr"/>
        <c:lblOffset val="100"/>
        <c:noMultiLvlLbl val="0"/>
      </c:catAx>
      <c:valAx>
        <c:axId val="221373088"/>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8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2.xlsx]real pivot table!PivotTable16</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1600" b="1">
                <a:solidFill>
                  <a:schemeClr val="bg1"/>
                </a:solidFill>
                <a:latin typeface="Times New Roman" panose="02020603050405020304" pitchFamily="18" charset="0"/>
                <a:cs typeface="Times New Roman" panose="02020603050405020304" pitchFamily="18" charset="0"/>
              </a:rPr>
              <a:t>Region</a:t>
            </a:r>
            <a:r>
              <a:rPr lang="en-US" sz="1600" b="1" baseline="0">
                <a:solidFill>
                  <a:schemeClr val="bg1"/>
                </a:solidFill>
                <a:latin typeface="Times New Roman" panose="02020603050405020304" pitchFamily="18" charset="0"/>
                <a:cs typeface="Times New Roman" panose="02020603050405020304" pitchFamily="18" charset="0"/>
              </a:rPr>
              <a:t>al Sales</a:t>
            </a:r>
            <a:endParaRPr lang="en-US" sz="1600" b="1">
              <a:solidFill>
                <a:schemeClr val="bg1"/>
              </a:solidFill>
              <a:latin typeface="Times New Roman" panose="02020603050405020304" pitchFamily="18" charset="0"/>
              <a:cs typeface="Times New Roman" panose="02020603050405020304" pitchFamily="18" charset="0"/>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'real pivot table'!$B$24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pivot table'!$A$25</c:f>
              <c:strCache>
                <c:ptCount val="1"/>
                <c:pt idx="0">
                  <c:v>Grand Total</c:v>
                </c:pt>
              </c:strCache>
            </c:strRef>
          </c:cat>
          <c:val>
            <c:numRef>
              <c:f>'real pivot table'!$B$25</c:f>
              <c:numCache>
                <c:formatCode>_-[$₦-46A]* #,##0.00_-;\-[$₦-46A]* #,##0.00_-;_-[$₦-46A]* "-"??_-;_-@_-</c:formatCode>
                <c:ptCount val="1"/>
              </c:numCache>
            </c:numRef>
          </c:val>
          <c:extLst>
            <c:ext xmlns:c16="http://schemas.microsoft.com/office/drawing/2014/chart" uri="{C3380CC4-5D6E-409C-BE32-E72D297353CC}">
              <c16:uniqueId val="{00000000-F83A-47D8-A340-83A48912898A}"/>
            </c:ext>
          </c:extLst>
        </c:ser>
        <c:dLbls>
          <c:dLblPos val="outEnd"/>
          <c:showLegendKey val="0"/>
          <c:showVal val="1"/>
          <c:showCatName val="0"/>
          <c:showSerName val="0"/>
          <c:showPercent val="0"/>
          <c:showBubbleSize val="0"/>
        </c:dLbls>
        <c:gapWidth val="219"/>
        <c:overlap val="-27"/>
        <c:axId val="221340928"/>
        <c:axId val="221334208"/>
      </c:barChart>
      <c:catAx>
        <c:axId val="22134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34208"/>
        <c:crosses val="autoZero"/>
        <c:auto val="1"/>
        <c:lblAlgn val="ctr"/>
        <c:lblOffset val="100"/>
        <c:noMultiLvlLbl val="0"/>
      </c:catAx>
      <c:valAx>
        <c:axId val="221334208"/>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40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2.xlsx]real pivot table!PivotTable1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latin typeface="Times New Roman" panose="02020603050405020304" pitchFamily="18" charset="0"/>
                <a:cs typeface="Times New Roman" panose="02020603050405020304" pitchFamily="18" charset="0"/>
              </a:rPr>
              <a:t>Products</a:t>
            </a:r>
            <a:r>
              <a:rPr lang="en-US" sz="1600" b="1" baseline="0">
                <a:solidFill>
                  <a:schemeClr val="bg1"/>
                </a:solidFill>
                <a:latin typeface="Times New Roman" panose="02020603050405020304" pitchFamily="18" charset="0"/>
                <a:cs typeface="Times New Roman" panose="02020603050405020304" pitchFamily="18" charset="0"/>
              </a:rPr>
              <a:t> Category By Sales</a:t>
            </a:r>
            <a:endParaRPr lang="en-US" sz="1600" b="1">
              <a:solidFill>
                <a:schemeClr val="bg1"/>
              </a:solidFill>
              <a:latin typeface="Times New Roman" panose="02020603050405020304" pitchFamily="18" charset="0"/>
              <a:cs typeface="Times New Roman" panose="02020603050405020304" pitchFamily="18" charset="0"/>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'real pivot table'!$B$39</c:f>
              <c:strCache>
                <c:ptCount val="1"/>
                <c:pt idx="0">
                  <c:v>Total</c:v>
                </c:pt>
              </c:strCache>
            </c:strRef>
          </c:tx>
          <c:spPr>
            <a:solidFill>
              <a:schemeClr val="accent1"/>
            </a:solidFill>
            <a:ln>
              <a:noFill/>
            </a:ln>
            <a:effectLst/>
          </c:spPr>
          <c:invertIfNegative val="0"/>
          <c:cat>
            <c:strRef>
              <c:f>'real pivot table'!$A$40:$A$43</c:f>
              <c:strCache>
                <c:ptCount val="3"/>
                <c:pt idx="0">
                  <c:v>Electronics</c:v>
                </c:pt>
                <c:pt idx="1">
                  <c:v>Home Appliances</c:v>
                </c:pt>
                <c:pt idx="2">
                  <c:v>Fashion</c:v>
                </c:pt>
              </c:strCache>
            </c:strRef>
          </c:cat>
          <c:val>
            <c:numRef>
              <c:f>'real pivot table'!$B$40:$B$43</c:f>
              <c:numCache>
                <c:formatCode>_-[$₦-46A]* #,##0.00_-;\-[$₦-46A]* #,##0.00_-;_-[$₦-46A]* "-"??_-;_-@_-</c:formatCode>
                <c:ptCount val="3"/>
                <c:pt idx="0">
                  <c:v>2939.31</c:v>
                </c:pt>
                <c:pt idx="1">
                  <c:v>734.2</c:v>
                </c:pt>
                <c:pt idx="2">
                  <c:v>213.76</c:v>
                </c:pt>
              </c:numCache>
            </c:numRef>
          </c:val>
          <c:extLst>
            <c:ext xmlns:c16="http://schemas.microsoft.com/office/drawing/2014/chart" uri="{C3380CC4-5D6E-409C-BE32-E72D297353CC}">
              <c16:uniqueId val="{00000000-81E3-4379-BD23-B299D53DBB87}"/>
            </c:ext>
          </c:extLst>
        </c:ser>
        <c:dLbls>
          <c:showLegendKey val="0"/>
          <c:showVal val="0"/>
          <c:showCatName val="0"/>
          <c:showSerName val="0"/>
          <c:showPercent val="0"/>
          <c:showBubbleSize val="0"/>
        </c:dLbls>
        <c:gapWidth val="219"/>
        <c:overlap val="-27"/>
        <c:axId val="1285148368"/>
        <c:axId val="1285139248"/>
      </c:barChart>
      <c:catAx>
        <c:axId val="128514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139248"/>
        <c:crosses val="autoZero"/>
        <c:auto val="1"/>
        <c:lblAlgn val="ctr"/>
        <c:lblOffset val="100"/>
        <c:noMultiLvlLbl val="0"/>
      </c:catAx>
      <c:valAx>
        <c:axId val="1285139248"/>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14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2.xlsx]real 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Times New Roman" panose="02020603050405020304" pitchFamily="18" charset="0"/>
                <a:cs typeface="Times New Roman" panose="02020603050405020304" pitchFamily="18" charset="0"/>
              </a:rPr>
              <a:t>Top</a:t>
            </a:r>
            <a:r>
              <a:rPr lang="en-US" sz="1600" b="1" baseline="0">
                <a:solidFill>
                  <a:schemeClr val="bg1"/>
                </a:solidFill>
                <a:latin typeface="Times New Roman" panose="02020603050405020304" pitchFamily="18" charset="0"/>
                <a:cs typeface="Times New Roman" panose="02020603050405020304" pitchFamily="18" charset="0"/>
              </a:rPr>
              <a:t> 5 Performing Product</a:t>
            </a:r>
            <a:endParaRPr lang="en-US" sz="1600" b="1">
              <a:solidFill>
                <a:schemeClr val="bg1"/>
              </a:solidFill>
              <a:latin typeface="Times New Roman" panose="02020603050405020304" pitchFamily="18" charset="0"/>
              <a:cs typeface="Times New Roman" panose="02020603050405020304" pitchFamily="18" charset="0"/>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'real pivot table'!$B$55</c:f>
              <c:strCache>
                <c:ptCount val="1"/>
                <c:pt idx="0">
                  <c:v>Total</c:v>
                </c:pt>
              </c:strCache>
            </c:strRef>
          </c:tx>
          <c:spPr>
            <a:solidFill>
              <a:schemeClr val="accent1"/>
            </a:solidFill>
            <a:ln>
              <a:noFill/>
            </a:ln>
            <a:effectLst/>
          </c:spPr>
          <c:invertIfNegative val="0"/>
          <c:cat>
            <c:strRef>
              <c:f>'real pivot table'!$A$56</c:f>
              <c:strCache>
                <c:ptCount val="1"/>
                <c:pt idx="0">
                  <c:v>Grand Total</c:v>
                </c:pt>
              </c:strCache>
            </c:strRef>
          </c:cat>
          <c:val>
            <c:numRef>
              <c:f>'real pivot table'!$B$56</c:f>
              <c:numCache>
                <c:formatCode>_-[$₦-46A]* #,##0.00_-;\-[$₦-46A]* #,##0.00_-;_-[$₦-46A]* "-"??_-;_-@_-</c:formatCode>
                <c:ptCount val="1"/>
              </c:numCache>
            </c:numRef>
          </c:val>
          <c:extLst>
            <c:ext xmlns:c16="http://schemas.microsoft.com/office/drawing/2014/chart" uri="{C3380CC4-5D6E-409C-BE32-E72D297353CC}">
              <c16:uniqueId val="{00000000-DFBC-4B7C-9B22-2CD06A3E7F6C}"/>
            </c:ext>
          </c:extLst>
        </c:ser>
        <c:dLbls>
          <c:showLegendKey val="0"/>
          <c:showVal val="0"/>
          <c:showCatName val="0"/>
          <c:showSerName val="0"/>
          <c:showPercent val="0"/>
          <c:showBubbleSize val="0"/>
        </c:dLbls>
        <c:gapWidth val="219"/>
        <c:overlap val="-27"/>
        <c:axId val="1059200191"/>
        <c:axId val="1059201631"/>
      </c:barChart>
      <c:catAx>
        <c:axId val="105920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201631"/>
        <c:crosses val="autoZero"/>
        <c:auto val="1"/>
        <c:lblAlgn val="ctr"/>
        <c:lblOffset val="100"/>
        <c:noMultiLvlLbl val="0"/>
      </c:catAx>
      <c:valAx>
        <c:axId val="1059201631"/>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20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DATASET 2.xlsx]real pivot table!PivotTable15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latin typeface="Times New Roman" panose="02020603050405020304" pitchFamily="18" charset="0"/>
                <a:cs typeface="Times New Roman" panose="02020603050405020304" pitchFamily="18" charset="0"/>
              </a:rPr>
              <a:t>Monthly Sales Trend</a:t>
            </a:r>
            <a:r>
              <a:rPr lang="en-US" sz="1600" b="1" baseline="0">
                <a:solidFill>
                  <a:schemeClr val="bg1"/>
                </a:solidFill>
                <a:latin typeface="Times New Roman" panose="02020603050405020304" pitchFamily="18" charset="0"/>
                <a:cs typeface="Times New Roman" panose="02020603050405020304" pitchFamily="18" charset="0"/>
              </a:rPr>
              <a:t> </a:t>
            </a:r>
            <a:endParaRPr lang="en-US" sz="1600" b="1">
              <a:solidFill>
                <a:schemeClr val="bg1"/>
              </a:solidFill>
              <a:latin typeface="Times New Roman" panose="02020603050405020304" pitchFamily="18" charset="0"/>
              <a:cs typeface="Times New Roman" panose="02020603050405020304" pitchFamily="18" charset="0"/>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'real pivot table'!$B$7</c:f>
              <c:strCache>
                <c:ptCount val="1"/>
                <c:pt idx="0">
                  <c:v>Total</c:v>
                </c:pt>
              </c:strCache>
            </c:strRef>
          </c:tx>
          <c:spPr>
            <a:ln w="28575" cap="rnd">
              <a:solidFill>
                <a:schemeClr val="accent1">
                  <a:lumMod val="50000"/>
                </a:schemeClr>
              </a:solidFill>
              <a:round/>
            </a:ln>
            <a:effectLst/>
          </c:spPr>
          <c:marker>
            <c:symbol val="none"/>
          </c:marker>
          <c:cat>
            <c:strRef>
              <c:f>'real pivot table'!$A$8</c:f>
              <c:strCache>
                <c:ptCount val="1"/>
                <c:pt idx="0">
                  <c:v>Grand Total</c:v>
                </c:pt>
              </c:strCache>
            </c:strRef>
          </c:cat>
          <c:val>
            <c:numRef>
              <c:f>'real pivot table'!$B$8</c:f>
              <c:numCache>
                <c:formatCode>_-[$₦-46A]* #,##0.00_-;\-[$₦-46A]* #,##0.00_-;_-[$₦-46A]* "-"??_-;_-@_-</c:formatCode>
                <c:ptCount val="1"/>
              </c:numCache>
            </c:numRef>
          </c:val>
          <c:smooth val="0"/>
          <c:extLst>
            <c:ext xmlns:c16="http://schemas.microsoft.com/office/drawing/2014/chart" uri="{C3380CC4-5D6E-409C-BE32-E72D297353CC}">
              <c16:uniqueId val="{00000000-C346-4E98-A26D-4870B04F6481}"/>
            </c:ext>
          </c:extLst>
        </c:ser>
        <c:dLbls>
          <c:showLegendKey val="0"/>
          <c:showVal val="0"/>
          <c:showCatName val="0"/>
          <c:showSerName val="0"/>
          <c:showPercent val="0"/>
          <c:showBubbleSize val="0"/>
        </c:dLbls>
        <c:smooth val="0"/>
        <c:axId val="221387488"/>
        <c:axId val="221373088"/>
      </c:lineChart>
      <c:catAx>
        <c:axId val="22138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73088"/>
        <c:crosses val="autoZero"/>
        <c:auto val="1"/>
        <c:lblAlgn val="ctr"/>
        <c:lblOffset val="100"/>
        <c:noMultiLvlLbl val="0"/>
      </c:catAx>
      <c:valAx>
        <c:axId val="221373088"/>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8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8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DATASET 2.xlsx]real pivot table!PivotTable16</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1600" b="1">
                <a:solidFill>
                  <a:schemeClr val="bg1"/>
                </a:solidFill>
                <a:latin typeface="Times New Roman" panose="02020603050405020304" pitchFamily="18" charset="0"/>
                <a:cs typeface="Times New Roman" panose="02020603050405020304" pitchFamily="18" charset="0"/>
              </a:rPr>
              <a:t>Region</a:t>
            </a:r>
            <a:r>
              <a:rPr lang="en-US" sz="1600" b="1" baseline="0">
                <a:solidFill>
                  <a:schemeClr val="bg1"/>
                </a:solidFill>
                <a:latin typeface="Times New Roman" panose="02020603050405020304" pitchFamily="18" charset="0"/>
                <a:cs typeface="Times New Roman" panose="02020603050405020304" pitchFamily="18" charset="0"/>
              </a:rPr>
              <a:t>al Sales</a:t>
            </a:r>
            <a:endParaRPr lang="en-US" sz="1600" b="1">
              <a:solidFill>
                <a:schemeClr val="bg1"/>
              </a:solidFill>
              <a:latin typeface="Times New Roman" panose="02020603050405020304" pitchFamily="18" charset="0"/>
              <a:cs typeface="Times New Roman" panose="02020603050405020304" pitchFamily="18" charset="0"/>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'real pivot table'!$B$24</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pivot table'!$A$25</c:f>
              <c:strCache>
                <c:ptCount val="1"/>
                <c:pt idx="0">
                  <c:v>Grand Total</c:v>
                </c:pt>
              </c:strCache>
            </c:strRef>
          </c:cat>
          <c:val>
            <c:numRef>
              <c:f>'real pivot table'!$B$25</c:f>
              <c:numCache>
                <c:formatCode>_-[$₦-46A]* #,##0.00_-;\-[$₦-46A]* #,##0.00_-;_-[$₦-46A]* "-"??_-;_-@_-</c:formatCode>
                <c:ptCount val="1"/>
              </c:numCache>
            </c:numRef>
          </c:val>
          <c:extLst>
            <c:ext xmlns:c16="http://schemas.microsoft.com/office/drawing/2014/chart" uri="{C3380CC4-5D6E-409C-BE32-E72D297353CC}">
              <c16:uniqueId val="{00000000-47A5-4C67-B477-F212D7D11187}"/>
            </c:ext>
          </c:extLst>
        </c:ser>
        <c:dLbls>
          <c:dLblPos val="outEnd"/>
          <c:showLegendKey val="0"/>
          <c:showVal val="1"/>
          <c:showCatName val="0"/>
          <c:showSerName val="0"/>
          <c:showPercent val="0"/>
          <c:showBubbleSize val="0"/>
        </c:dLbls>
        <c:gapWidth val="219"/>
        <c:overlap val="-27"/>
        <c:axId val="221340928"/>
        <c:axId val="221334208"/>
      </c:barChart>
      <c:catAx>
        <c:axId val="22134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34208"/>
        <c:crosses val="autoZero"/>
        <c:auto val="1"/>
        <c:lblAlgn val="ctr"/>
        <c:lblOffset val="100"/>
        <c:noMultiLvlLbl val="0"/>
      </c:catAx>
      <c:valAx>
        <c:axId val="221334208"/>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340928"/>
        <c:crosses val="autoZero"/>
        <c:crossBetween val="between"/>
      </c:valAx>
      <c:spPr>
        <a:noFill/>
        <a:ln>
          <a:noFill/>
        </a:ln>
        <a:effectLst/>
      </c:spPr>
    </c:plotArea>
    <c:plotVisOnly val="1"/>
    <c:dispBlanksAs val="gap"/>
    <c:showDLblsOverMax val="0"/>
  </c:chart>
  <c:spPr>
    <a:noFill/>
    <a:ln w="9525" cap="flat" cmpd="sng" algn="ctr">
      <a:solidFill>
        <a:schemeClr val="tx1">
          <a:alpha val="8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DATASET 2.xlsx]real pivot table!PivotTable1</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solidFill>
                  <a:schemeClr val="bg1"/>
                </a:solidFill>
                <a:latin typeface="Times New Roman" panose="02020603050405020304" pitchFamily="18" charset="0"/>
                <a:cs typeface="Times New Roman" panose="02020603050405020304" pitchFamily="18" charset="0"/>
              </a:rPr>
              <a:t>Products</a:t>
            </a:r>
            <a:r>
              <a:rPr lang="en-US" sz="1600" b="1" baseline="0">
                <a:solidFill>
                  <a:schemeClr val="bg1"/>
                </a:solidFill>
                <a:latin typeface="Times New Roman" panose="02020603050405020304" pitchFamily="18" charset="0"/>
                <a:cs typeface="Times New Roman" panose="02020603050405020304" pitchFamily="18" charset="0"/>
              </a:rPr>
              <a:t> Category By Sales</a:t>
            </a:r>
            <a:endParaRPr lang="en-US" sz="1600" b="1">
              <a:solidFill>
                <a:schemeClr val="bg1"/>
              </a:solidFill>
              <a:latin typeface="Times New Roman" panose="02020603050405020304" pitchFamily="18" charset="0"/>
              <a:cs typeface="Times New Roman" panose="02020603050405020304" pitchFamily="18" charset="0"/>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rgbClr val="002060"/>
          </a:solidFill>
          <a:ln>
            <a:noFill/>
          </a:ln>
          <a:effectLst/>
        </c:spPr>
      </c:pivotFmt>
    </c:pivotFmts>
    <c:plotArea>
      <c:layout/>
      <c:barChart>
        <c:barDir val="col"/>
        <c:grouping val="clustered"/>
        <c:varyColors val="0"/>
        <c:ser>
          <c:idx val="0"/>
          <c:order val="0"/>
          <c:tx>
            <c:strRef>
              <c:f>'real pivot table'!$B$39</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4-C994-4CCA-90A0-6DEE65518E4A}"/>
              </c:ext>
            </c:extLst>
          </c:dPt>
          <c:dPt>
            <c:idx val="1"/>
            <c:invertIfNegative val="0"/>
            <c:bubble3D val="0"/>
            <c:spPr>
              <a:solidFill>
                <a:srgbClr val="002060"/>
              </a:solidFill>
              <a:ln>
                <a:noFill/>
              </a:ln>
              <a:effectLst/>
            </c:spPr>
            <c:extLst>
              <c:ext xmlns:c16="http://schemas.microsoft.com/office/drawing/2014/chart" uri="{C3380CC4-5D6E-409C-BE32-E72D297353CC}">
                <c16:uniqueId val="{00000003-C994-4CCA-90A0-6DEE65518E4A}"/>
              </c:ext>
            </c:extLst>
          </c:dPt>
          <c:dPt>
            <c:idx val="2"/>
            <c:invertIfNegative val="0"/>
            <c:bubble3D val="0"/>
            <c:spPr>
              <a:solidFill>
                <a:srgbClr val="002060"/>
              </a:solidFill>
              <a:ln>
                <a:noFill/>
              </a:ln>
              <a:effectLst/>
            </c:spPr>
            <c:extLst>
              <c:ext xmlns:c16="http://schemas.microsoft.com/office/drawing/2014/chart" uri="{C3380CC4-5D6E-409C-BE32-E72D297353CC}">
                <c16:uniqueId val="{00000001-C994-4CCA-90A0-6DEE65518E4A}"/>
              </c:ext>
            </c:extLst>
          </c:dPt>
          <c:dPt>
            <c:idx val="3"/>
            <c:invertIfNegative val="0"/>
            <c:bubble3D val="0"/>
            <c:extLst>
              <c:ext xmlns:c16="http://schemas.microsoft.com/office/drawing/2014/chart" uri="{C3380CC4-5D6E-409C-BE32-E72D297353CC}">
                <c16:uniqueId val="{00000002-C994-4CCA-90A0-6DEE65518E4A}"/>
              </c:ext>
            </c:extLst>
          </c:dPt>
          <c:cat>
            <c:strRef>
              <c:f>'real pivot table'!$A$40:$A$43</c:f>
              <c:strCache>
                <c:ptCount val="3"/>
                <c:pt idx="0">
                  <c:v>Electronics</c:v>
                </c:pt>
                <c:pt idx="1">
                  <c:v>Home Appliances</c:v>
                </c:pt>
                <c:pt idx="2">
                  <c:v>Fashion</c:v>
                </c:pt>
              </c:strCache>
            </c:strRef>
          </c:cat>
          <c:val>
            <c:numRef>
              <c:f>'real pivot table'!$B$40:$B$43</c:f>
              <c:numCache>
                <c:formatCode>_-[$₦-46A]* #,##0.00_-;\-[$₦-46A]* #,##0.00_-;_-[$₦-46A]* "-"??_-;_-@_-</c:formatCode>
                <c:ptCount val="3"/>
                <c:pt idx="0">
                  <c:v>2939.31</c:v>
                </c:pt>
                <c:pt idx="1">
                  <c:v>734.2</c:v>
                </c:pt>
                <c:pt idx="2">
                  <c:v>213.76</c:v>
                </c:pt>
              </c:numCache>
            </c:numRef>
          </c:val>
          <c:extLst>
            <c:ext xmlns:c16="http://schemas.microsoft.com/office/drawing/2014/chart" uri="{C3380CC4-5D6E-409C-BE32-E72D297353CC}">
              <c16:uniqueId val="{00000000-C994-4CCA-90A0-6DEE65518E4A}"/>
            </c:ext>
          </c:extLst>
        </c:ser>
        <c:dLbls>
          <c:showLegendKey val="0"/>
          <c:showVal val="0"/>
          <c:showCatName val="0"/>
          <c:showSerName val="0"/>
          <c:showPercent val="0"/>
          <c:showBubbleSize val="0"/>
        </c:dLbls>
        <c:gapWidth val="219"/>
        <c:overlap val="-27"/>
        <c:axId val="1285148368"/>
        <c:axId val="1285139248"/>
      </c:barChart>
      <c:catAx>
        <c:axId val="128514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139248"/>
        <c:crosses val="autoZero"/>
        <c:auto val="1"/>
        <c:lblAlgn val="ctr"/>
        <c:lblOffset val="100"/>
        <c:noMultiLvlLbl val="0"/>
      </c:catAx>
      <c:valAx>
        <c:axId val="1285139248"/>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14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8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DATASET 2.xlsx]real 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Times New Roman" panose="02020603050405020304" pitchFamily="18" charset="0"/>
                <a:cs typeface="Times New Roman" panose="02020603050405020304" pitchFamily="18" charset="0"/>
              </a:rPr>
              <a:t>Top</a:t>
            </a:r>
            <a:r>
              <a:rPr lang="en-US" sz="1600" b="1" baseline="0">
                <a:solidFill>
                  <a:schemeClr val="bg1"/>
                </a:solidFill>
                <a:latin typeface="Times New Roman" panose="02020603050405020304" pitchFamily="18" charset="0"/>
                <a:cs typeface="Times New Roman" panose="02020603050405020304" pitchFamily="18" charset="0"/>
              </a:rPr>
              <a:t> 5 Performing Product</a:t>
            </a:r>
            <a:endParaRPr lang="en-US" sz="1600" b="1">
              <a:solidFill>
                <a:schemeClr val="bg1"/>
              </a:solidFill>
              <a:latin typeface="Times New Roman" panose="02020603050405020304" pitchFamily="18" charset="0"/>
              <a:cs typeface="Times New Roman" panose="02020603050405020304" pitchFamily="18" charset="0"/>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'real pivot table'!$B$55</c:f>
              <c:strCache>
                <c:ptCount val="1"/>
                <c:pt idx="0">
                  <c:v>Total</c:v>
                </c:pt>
              </c:strCache>
            </c:strRef>
          </c:tx>
          <c:spPr>
            <a:solidFill>
              <a:srgbClr val="002060"/>
            </a:solidFill>
            <a:ln>
              <a:noFill/>
            </a:ln>
            <a:effectLst/>
          </c:spPr>
          <c:invertIfNegative val="0"/>
          <c:cat>
            <c:strRef>
              <c:f>'real pivot table'!$A$56</c:f>
              <c:strCache>
                <c:ptCount val="1"/>
                <c:pt idx="0">
                  <c:v>Grand Total</c:v>
                </c:pt>
              </c:strCache>
            </c:strRef>
          </c:cat>
          <c:val>
            <c:numRef>
              <c:f>'real pivot table'!$B$56</c:f>
              <c:numCache>
                <c:formatCode>_-[$₦-46A]* #,##0.00_-;\-[$₦-46A]* #,##0.00_-;_-[$₦-46A]* "-"??_-;_-@_-</c:formatCode>
                <c:ptCount val="1"/>
              </c:numCache>
            </c:numRef>
          </c:val>
          <c:extLst>
            <c:ext xmlns:c16="http://schemas.microsoft.com/office/drawing/2014/chart" uri="{C3380CC4-5D6E-409C-BE32-E72D297353CC}">
              <c16:uniqueId val="{00000000-8BF6-4B6C-B25A-71C8ECA3CB77}"/>
            </c:ext>
          </c:extLst>
        </c:ser>
        <c:dLbls>
          <c:showLegendKey val="0"/>
          <c:showVal val="0"/>
          <c:showCatName val="0"/>
          <c:showSerName val="0"/>
          <c:showPercent val="0"/>
          <c:showBubbleSize val="0"/>
        </c:dLbls>
        <c:gapWidth val="219"/>
        <c:overlap val="-27"/>
        <c:axId val="1059200191"/>
        <c:axId val="1059201631"/>
      </c:barChart>
      <c:catAx>
        <c:axId val="1059200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201631"/>
        <c:crosses val="autoZero"/>
        <c:auto val="1"/>
        <c:lblAlgn val="ctr"/>
        <c:lblOffset val="100"/>
        <c:noMultiLvlLbl val="0"/>
      </c:catAx>
      <c:valAx>
        <c:axId val="1059201631"/>
        <c:scaling>
          <c:orientation val="minMax"/>
        </c:scaling>
        <c:delete val="0"/>
        <c:axPos val="l"/>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20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8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DATASET 2.xlsx]pivot table !PivotTable4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Regional</a:t>
            </a:r>
            <a:r>
              <a:rPr lang="en-US" baseline="0">
                <a:solidFill>
                  <a:schemeClr val="tx1"/>
                </a:solidFill>
              </a:rPr>
              <a:t> order</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'!$B$9</c:f>
              <c:strCache>
                <c:ptCount val="1"/>
                <c:pt idx="0">
                  <c:v>Total</c:v>
                </c:pt>
              </c:strCache>
            </c:strRef>
          </c:tx>
          <c:spPr>
            <a:ln w="28575" cap="rnd">
              <a:solidFill>
                <a:srgbClr val="002060"/>
              </a:solidFill>
              <a:round/>
            </a:ln>
            <a:effectLst/>
          </c:spPr>
          <c:marker>
            <c:symbol val="none"/>
          </c:marker>
          <c:cat>
            <c:strRef>
              <c:f>'pivot table '!$A$10:$A$16</c:f>
              <c:strCache>
                <c:ptCount val="6"/>
                <c:pt idx="0">
                  <c:v>Abuja</c:v>
                </c:pt>
                <c:pt idx="1">
                  <c:v>Ibadan</c:v>
                </c:pt>
                <c:pt idx="2">
                  <c:v>Kano</c:v>
                </c:pt>
                <c:pt idx="3">
                  <c:v>Lagos</c:v>
                </c:pt>
                <c:pt idx="4">
                  <c:v>NOT GIVEN</c:v>
                </c:pt>
                <c:pt idx="5">
                  <c:v>Port Harcourt</c:v>
                </c:pt>
              </c:strCache>
            </c:strRef>
          </c:cat>
          <c:val>
            <c:numRef>
              <c:f>'pivot table '!$B$10:$B$16</c:f>
              <c:numCache>
                <c:formatCode>General</c:formatCode>
                <c:ptCount val="6"/>
                <c:pt idx="0">
                  <c:v>35</c:v>
                </c:pt>
                <c:pt idx="1">
                  <c:v>24</c:v>
                </c:pt>
                <c:pt idx="2">
                  <c:v>25</c:v>
                </c:pt>
                <c:pt idx="3">
                  <c:v>45</c:v>
                </c:pt>
                <c:pt idx="4">
                  <c:v>1</c:v>
                </c:pt>
                <c:pt idx="5">
                  <c:v>20</c:v>
                </c:pt>
              </c:numCache>
            </c:numRef>
          </c:val>
          <c:smooth val="0"/>
          <c:extLst>
            <c:ext xmlns:c16="http://schemas.microsoft.com/office/drawing/2014/chart" uri="{C3380CC4-5D6E-409C-BE32-E72D297353CC}">
              <c16:uniqueId val="{00000000-0C7A-4A86-B2DD-B0F6B7C78D53}"/>
            </c:ext>
          </c:extLst>
        </c:ser>
        <c:dLbls>
          <c:showLegendKey val="0"/>
          <c:showVal val="0"/>
          <c:showCatName val="0"/>
          <c:showSerName val="0"/>
          <c:showPercent val="0"/>
          <c:showBubbleSize val="0"/>
        </c:dLbls>
        <c:smooth val="0"/>
        <c:axId val="987668496"/>
        <c:axId val="987667056"/>
      </c:lineChart>
      <c:catAx>
        <c:axId val="98766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667056"/>
        <c:crosses val="autoZero"/>
        <c:auto val="1"/>
        <c:lblAlgn val="ctr"/>
        <c:lblOffset val="100"/>
        <c:noMultiLvlLbl val="0"/>
      </c:catAx>
      <c:valAx>
        <c:axId val="987667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766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8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DATASET 2.xlsx]pivot table !PivotTable6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Product</a:t>
            </a:r>
            <a:r>
              <a:rPr lang="en-US" b="1" baseline="0">
                <a:solidFill>
                  <a:schemeClr val="tx1"/>
                </a:solidFill>
              </a:rPr>
              <a:t> Category by Order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'!$B$24</c:f>
              <c:strCache>
                <c:ptCount val="1"/>
                <c:pt idx="0">
                  <c:v>Total</c:v>
                </c:pt>
              </c:strCache>
            </c:strRef>
          </c:tx>
          <c:spPr>
            <a:solidFill>
              <a:srgbClr val="002060"/>
            </a:solidFill>
            <a:ln>
              <a:noFill/>
            </a:ln>
            <a:effectLst/>
          </c:spPr>
          <c:invertIfNegative val="0"/>
          <c:cat>
            <c:strRef>
              <c:f>'pivot table '!$A$25:$A$29</c:f>
              <c:strCache>
                <c:ptCount val="4"/>
                <c:pt idx="0">
                  <c:v>Electronics</c:v>
                </c:pt>
                <c:pt idx="1">
                  <c:v>Fashion</c:v>
                </c:pt>
                <c:pt idx="2">
                  <c:v>Groceries</c:v>
                </c:pt>
                <c:pt idx="3">
                  <c:v>Home Appliances</c:v>
                </c:pt>
              </c:strCache>
            </c:strRef>
          </c:cat>
          <c:val>
            <c:numRef>
              <c:f>'pivot table '!$B$25:$B$29</c:f>
              <c:numCache>
                <c:formatCode>General</c:formatCode>
                <c:ptCount val="4"/>
                <c:pt idx="0">
                  <c:v>50</c:v>
                </c:pt>
                <c:pt idx="1">
                  <c:v>28</c:v>
                </c:pt>
                <c:pt idx="2">
                  <c:v>30</c:v>
                </c:pt>
                <c:pt idx="3">
                  <c:v>42</c:v>
                </c:pt>
              </c:numCache>
            </c:numRef>
          </c:val>
          <c:extLst>
            <c:ext xmlns:c16="http://schemas.microsoft.com/office/drawing/2014/chart" uri="{C3380CC4-5D6E-409C-BE32-E72D297353CC}">
              <c16:uniqueId val="{00000000-BA22-45D3-8D98-2F0162D43E07}"/>
            </c:ext>
          </c:extLst>
        </c:ser>
        <c:dLbls>
          <c:showLegendKey val="0"/>
          <c:showVal val="0"/>
          <c:showCatName val="0"/>
          <c:showSerName val="0"/>
          <c:showPercent val="0"/>
          <c:showBubbleSize val="0"/>
        </c:dLbls>
        <c:gapWidth val="219"/>
        <c:overlap val="-27"/>
        <c:axId val="1646107744"/>
        <c:axId val="1646127904"/>
      </c:barChart>
      <c:catAx>
        <c:axId val="164610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27904"/>
        <c:crosses val="autoZero"/>
        <c:auto val="1"/>
        <c:lblAlgn val="ctr"/>
        <c:lblOffset val="100"/>
        <c:noMultiLvlLbl val="0"/>
      </c:catAx>
      <c:valAx>
        <c:axId val="1646127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0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8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DATASET 2.xlsx]pivot table !PivotTable7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 Customer By</a:t>
            </a:r>
            <a:r>
              <a:rPr lang="en-US" b="1" baseline="0">
                <a:solidFill>
                  <a:schemeClr val="tx1"/>
                </a:solidFill>
              </a:rPr>
              <a:t>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
        <c:idx val="4"/>
        <c:spPr>
          <a:solidFill>
            <a:srgbClr val="002060"/>
          </a:solidFill>
          <a:ln>
            <a:noFill/>
          </a:ln>
          <a:effectLst/>
        </c:spPr>
      </c:pivotFmt>
      <c:pivotFmt>
        <c:idx val="5"/>
        <c:spPr>
          <a:solidFill>
            <a:srgbClr val="002060"/>
          </a:solidFill>
          <a:ln>
            <a:noFill/>
          </a:ln>
          <a:effectLst/>
        </c:spPr>
      </c:pivotFmt>
      <c:pivotFmt>
        <c:idx val="6"/>
        <c:spPr>
          <a:solidFill>
            <a:srgbClr val="002060"/>
          </a:solidFill>
          <a:ln>
            <a:noFill/>
          </a:ln>
          <a:effectLst/>
        </c:spPr>
      </c:pivotFmt>
      <c:pivotFmt>
        <c:idx val="7"/>
        <c:spPr>
          <a:solidFill>
            <a:srgbClr val="002060"/>
          </a:solidFill>
          <a:ln>
            <a:noFill/>
          </a:ln>
          <a:effectLst/>
        </c:spPr>
      </c:pivotFmt>
      <c:pivotFmt>
        <c:idx val="8"/>
        <c:spPr>
          <a:solidFill>
            <a:srgbClr val="002060"/>
          </a:solidFill>
          <a:ln>
            <a:noFill/>
          </a:ln>
          <a:effectLst/>
        </c:spPr>
      </c:pivotFmt>
    </c:pivotFmts>
    <c:plotArea>
      <c:layout/>
      <c:barChart>
        <c:barDir val="col"/>
        <c:grouping val="clustered"/>
        <c:varyColors val="0"/>
        <c:ser>
          <c:idx val="0"/>
          <c:order val="0"/>
          <c:tx>
            <c:strRef>
              <c:f>'pivot table '!$B$40</c:f>
              <c:strCache>
                <c:ptCount val="1"/>
                <c:pt idx="0">
                  <c:v>Total</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9138-481C-8785-A8477E0D59D3}"/>
              </c:ext>
            </c:extLst>
          </c:dPt>
          <c:dPt>
            <c:idx val="1"/>
            <c:invertIfNegative val="0"/>
            <c:bubble3D val="0"/>
            <c:spPr>
              <a:solidFill>
                <a:srgbClr val="002060"/>
              </a:solidFill>
              <a:ln>
                <a:noFill/>
              </a:ln>
              <a:effectLst/>
            </c:spPr>
            <c:extLst>
              <c:ext xmlns:c16="http://schemas.microsoft.com/office/drawing/2014/chart" uri="{C3380CC4-5D6E-409C-BE32-E72D297353CC}">
                <c16:uniqueId val="{00000002-9138-481C-8785-A8477E0D59D3}"/>
              </c:ext>
            </c:extLst>
          </c:dPt>
          <c:dPt>
            <c:idx val="2"/>
            <c:invertIfNegative val="0"/>
            <c:bubble3D val="0"/>
            <c:spPr>
              <a:solidFill>
                <a:srgbClr val="002060"/>
              </a:solidFill>
              <a:ln>
                <a:noFill/>
              </a:ln>
              <a:effectLst/>
            </c:spPr>
            <c:extLst>
              <c:ext xmlns:c16="http://schemas.microsoft.com/office/drawing/2014/chart" uri="{C3380CC4-5D6E-409C-BE32-E72D297353CC}">
                <c16:uniqueId val="{00000003-9138-481C-8785-A8477E0D59D3}"/>
              </c:ext>
            </c:extLst>
          </c:dPt>
          <c:dPt>
            <c:idx val="3"/>
            <c:invertIfNegative val="0"/>
            <c:bubble3D val="0"/>
            <c:spPr>
              <a:solidFill>
                <a:srgbClr val="002060"/>
              </a:solidFill>
              <a:ln>
                <a:noFill/>
              </a:ln>
              <a:effectLst/>
            </c:spPr>
            <c:extLst>
              <c:ext xmlns:c16="http://schemas.microsoft.com/office/drawing/2014/chart" uri="{C3380CC4-5D6E-409C-BE32-E72D297353CC}">
                <c16:uniqueId val="{00000004-9138-481C-8785-A8477E0D59D3}"/>
              </c:ext>
            </c:extLst>
          </c:dPt>
          <c:dPt>
            <c:idx val="4"/>
            <c:invertIfNegative val="0"/>
            <c:bubble3D val="0"/>
            <c:spPr>
              <a:solidFill>
                <a:srgbClr val="002060"/>
              </a:solidFill>
              <a:ln>
                <a:noFill/>
              </a:ln>
              <a:effectLst/>
            </c:spPr>
            <c:extLst>
              <c:ext xmlns:c16="http://schemas.microsoft.com/office/drawing/2014/chart" uri="{C3380CC4-5D6E-409C-BE32-E72D297353CC}">
                <c16:uniqueId val="{00000005-9138-481C-8785-A8477E0D59D3}"/>
              </c:ext>
            </c:extLst>
          </c:dPt>
          <c:cat>
            <c:strRef>
              <c:f>'pivot table '!$A$41:$A$46</c:f>
              <c:strCache>
                <c:ptCount val="5"/>
                <c:pt idx="0">
                  <c:v>Deborah</c:v>
                </c:pt>
                <c:pt idx="1">
                  <c:v>David</c:v>
                </c:pt>
                <c:pt idx="2">
                  <c:v>Grace</c:v>
                </c:pt>
                <c:pt idx="3">
                  <c:v>Michael</c:v>
                </c:pt>
                <c:pt idx="4">
                  <c:v>James</c:v>
                </c:pt>
              </c:strCache>
            </c:strRef>
          </c:cat>
          <c:val>
            <c:numRef>
              <c:f>'pivot table '!$B$41:$B$46</c:f>
              <c:numCache>
                <c:formatCode>"$"#,##0.00</c:formatCode>
                <c:ptCount val="5"/>
                <c:pt idx="0">
                  <c:v>29761.979999999996</c:v>
                </c:pt>
                <c:pt idx="1">
                  <c:v>26932.639999999999</c:v>
                </c:pt>
                <c:pt idx="2">
                  <c:v>25201.380000000005</c:v>
                </c:pt>
                <c:pt idx="3">
                  <c:v>24127.050000000003</c:v>
                </c:pt>
                <c:pt idx="4">
                  <c:v>22383.9</c:v>
                </c:pt>
              </c:numCache>
            </c:numRef>
          </c:val>
          <c:extLst>
            <c:ext xmlns:c16="http://schemas.microsoft.com/office/drawing/2014/chart" uri="{C3380CC4-5D6E-409C-BE32-E72D297353CC}">
              <c16:uniqueId val="{00000000-9138-481C-8785-A8477E0D59D3}"/>
            </c:ext>
          </c:extLst>
        </c:ser>
        <c:dLbls>
          <c:showLegendKey val="0"/>
          <c:showVal val="0"/>
          <c:showCatName val="0"/>
          <c:showSerName val="0"/>
          <c:showPercent val="0"/>
          <c:showBubbleSize val="0"/>
        </c:dLbls>
        <c:gapWidth val="219"/>
        <c:overlap val="-27"/>
        <c:axId val="1646105824"/>
        <c:axId val="1646128864"/>
      </c:barChart>
      <c:catAx>
        <c:axId val="164610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28864"/>
        <c:crosses val="autoZero"/>
        <c:auto val="1"/>
        <c:lblAlgn val="ctr"/>
        <c:lblOffset val="100"/>
        <c:noMultiLvlLbl val="0"/>
      </c:catAx>
      <c:valAx>
        <c:axId val="164612886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0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8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DATASET 2.xlsx]pivot table !PivotTable8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Sales Representative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71827374123831"/>
          <c:y val="0.17015814231724843"/>
          <c:w val="0.8175231089045617"/>
          <c:h val="0.7234149463960472"/>
        </c:manualLayout>
      </c:layout>
      <c:barChart>
        <c:barDir val="col"/>
        <c:grouping val="clustered"/>
        <c:varyColors val="0"/>
        <c:ser>
          <c:idx val="0"/>
          <c:order val="0"/>
          <c:tx>
            <c:strRef>
              <c:f>'pivot table '!$B$56</c:f>
              <c:strCache>
                <c:ptCount val="1"/>
                <c:pt idx="0">
                  <c:v>Total</c:v>
                </c:pt>
              </c:strCache>
            </c:strRef>
          </c:tx>
          <c:spPr>
            <a:solidFill>
              <a:srgbClr val="002060"/>
            </a:solidFill>
            <a:ln>
              <a:noFill/>
            </a:ln>
            <a:effectLst/>
          </c:spPr>
          <c:invertIfNegative val="0"/>
          <c:cat>
            <c:strRef>
              <c:f>'pivot table '!$A$57:$A$62</c:f>
              <c:strCache>
                <c:ptCount val="5"/>
                <c:pt idx="0">
                  <c:v>Ahmed</c:v>
                </c:pt>
                <c:pt idx="1">
                  <c:v>Amaka</c:v>
                </c:pt>
                <c:pt idx="2">
                  <c:v>Femi</c:v>
                </c:pt>
                <c:pt idx="3">
                  <c:v>Joy</c:v>
                </c:pt>
                <c:pt idx="4">
                  <c:v>Tolu</c:v>
                </c:pt>
              </c:strCache>
            </c:strRef>
          </c:cat>
          <c:val>
            <c:numRef>
              <c:f>'pivot table '!$B$57:$B$62</c:f>
              <c:numCache>
                <c:formatCode>"$"#,##0.00</c:formatCode>
                <c:ptCount val="5"/>
                <c:pt idx="0">
                  <c:v>50318.17</c:v>
                </c:pt>
                <c:pt idx="1">
                  <c:v>42660.700000000019</c:v>
                </c:pt>
                <c:pt idx="2">
                  <c:v>38904.42</c:v>
                </c:pt>
                <c:pt idx="3">
                  <c:v>44053.27</c:v>
                </c:pt>
                <c:pt idx="4">
                  <c:v>34104.699999999997</c:v>
                </c:pt>
              </c:numCache>
            </c:numRef>
          </c:val>
          <c:extLst>
            <c:ext xmlns:c16="http://schemas.microsoft.com/office/drawing/2014/chart" uri="{C3380CC4-5D6E-409C-BE32-E72D297353CC}">
              <c16:uniqueId val="{00000000-11E8-4023-9489-7A11050C9EF0}"/>
            </c:ext>
          </c:extLst>
        </c:ser>
        <c:dLbls>
          <c:showLegendKey val="0"/>
          <c:showVal val="0"/>
          <c:showCatName val="0"/>
          <c:showSerName val="0"/>
          <c:showPercent val="0"/>
          <c:showBubbleSize val="0"/>
        </c:dLbls>
        <c:gapWidth val="219"/>
        <c:overlap val="-27"/>
        <c:axId val="1646082304"/>
        <c:axId val="1646100544"/>
      </c:barChart>
      <c:catAx>
        <c:axId val="164608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100544"/>
        <c:crosses val="autoZero"/>
        <c:auto val="1"/>
        <c:lblAlgn val="ctr"/>
        <c:lblOffset val="100"/>
        <c:noMultiLvlLbl val="0"/>
      </c:catAx>
      <c:valAx>
        <c:axId val="164610054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08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alpha val="8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11.xml"/><Relationship Id="rId7" Type="http://schemas.openxmlformats.org/officeDocument/2006/relationships/image" Target="../media/image3.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12.xml"/><Relationship Id="rId9"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image" Target="../media/image15.png"/><Relationship Id="rId18" Type="http://schemas.openxmlformats.org/officeDocument/2006/relationships/image" Target="../media/image6.svg"/><Relationship Id="rId3" Type="http://schemas.openxmlformats.org/officeDocument/2006/relationships/chart" Target="../charts/chart15.xml"/><Relationship Id="rId7" Type="http://schemas.openxmlformats.org/officeDocument/2006/relationships/image" Target="../media/image9.png"/><Relationship Id="rId12" Type="http://schemas.openxmlformats.org/officeDocument/2006/relationships/image" Target="../media/image14.svg"/><Relationship Id="rId17" Type="http://schemas.openxmlformats.org/officeDocument/2006/relationships/image" Target="../media/image5.png"/><Relationship Id="rId2" Type="http://schemas.openxmlformats.org/officeDocument/2006/relationships/chart" Target="../charts/chart14.xml"/><Relationship Id="rId16" Type="http://schemas.openxmlformats.org/officeDocument/2006/relationships/image" Target="../media/image2.svg"/><Relationship Id="rId1" Type="http://schemas.openxmlformats.org/officeDocument/2006/relationships/chart" Target="../charts/chart13.xml"/><Relationship Id="rId6" Type="http://schemas.openxmlformats.org/officeDocument/2006/relationships/image" Target="../media/image8.sv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png"/><Relationship Id="rId10" Type="http://schemas.openxmlformats.org/officeDocument/2006/relationships/image" Target="../media/image12.svg"/><Relationship Id="rId4" Type="http://schemas.openxmlformats.org/officeDocument/2006/relationships/chart" Target="../charts/chart16.xml"/><Relationship Id="rId9" Type="http://schemas.openxmlformats.org/officeDocument/2006/relationships/image" Target="../media/image11.png"/><Relationship Id="rId14" Type="http://schemas.openxmlformats.org/officeDocument/2006/relationships/image" Target="../media/image16.sv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svg"/><Relationship Id="rId1" Type="http://schemas.openxmlformats.org/officeDocument/2006/relationships/image" Target="../media/image17.png"/><Relationship Id="rId6" Type="http://schemas.openxmlformats.org/officeDocument/2006/relationships/image" Target="../media/image22.svg"/><Relationship Id="rId5" Type="http://schemas.openxmlformats.org/officeDocument/2006/relationships/image" Target="../media/image21.png"/><Relationship Id="rId4" Type="http://schemas.openxmlformats.org/officeDocument/2006/relationships/image" Target="../media/image20.svg"/></Relationships>
</file>

<file path=xl/drawings/drawing1.xml><?xml version="1.0" encoding="utf-8"?>
<xdr:wsDr xmlns:xdr="http://schemas.openxmlformats.org/drawingml/2006/spreadsheetDrawing" xmlns:a="http://schemas.openxmlformats.org/drawingml/2006/main">
  <xdr:twoCellAnchor>
    <xdr:from>
      <xdr:col>2</xdr:col>
      <xdr:colOff>76200</xdr:colOff>
      <xdr:row>8</xdr:row>
      <xdr:rowOff>19050</xdr:rowOff>
    </xdr:from>
    <xdr:to>
      <xdr:col>8</xdr:col>
      <xdr:colOff>523875</xdr:colOff>
      <xdr:row>22</xdr:row>
      <xdr:rowOff>95250</xdr:rowOff>
    </xdr:to>
    <xdr:graphicFrame macro="">
      <xdr:nvGraphicFramePr>
        <xdr:cNvPr id="2" name="Chart 1">
          <a:extLst>
            <a:ext uri="{FF2B5EF4-FFF2-40B4-BE49-F238E27FC236}">
              <a16:creationId xmlns:a16="http://schemas.microsoft.com/office/drawing/2014/main" id="{E3A822AB-7529-3D85-B552-320152250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xdr:colOff>
      <xdr:row>23</xdr:row>
      <xdr:rowOff>152400</xdr:rowOff>
    </xdr:from>
    <xdr:to>
      <xdr:col>8</xdr:col>
      <xdr:colOff>247650</xdr:colOff>
      <xdr:row>38</xdr:row>
      <xdr:rowOff>38100</xdr:rowOff>
    </xdr:to>
    <xdr:graphicFrame macro="">
      <xdr:nvGraphicFramePr>
        <xdr:cNvPr id="3" name="Chart 2">
          <a:extLst>
            <a:ext uri="{FF2B5EF4-FFF2-40B4-BE49-F238E27FC236}">
              <a16:creationId xmlns:a16="http://schemas.microsoft.com/office/drawing/2014/main" id="{136844FA-DD9C-3117-2939-7ADD8CE5A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23812</xdr:colOff>
      <xdr:row>38</xdr:row>
      <xdr:rowOff>180975</xdr:rowOff>
    </xdr:from>
    <xdr:to>
      <xdr:col>8</xdr:col>
      <xdr:colOff>214312</xdr:colOff>
      <xdr:row>53</xdr:row>
      <xdr:rowOff>66675</xdr:rowOff>
    </xdr:to>
    <xdr:graphicFrame macro="">
      <xdr:nvGraphicFramePr>
        <xdr:cNvPr id="4" name="Chart 3">
          <a:extLst>
            <a:ext uri="{FF2B5EF4-FFF2-40B4-BE49-F238E27FC236}">
              <a16:creationId xmlns:a16="http://schemas.microsoft.com/office/drawing/2014/main" id="{8D053321-0FD1-5033-57A4-ED3293B56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123825</xdr:colOff>
      <xdr:row>54</xdr:row>
      <xdr:rowOff>171450</xdr:rowOff>
    </xdr:from>
    <xdr:to>
      <xdr:col>8</xdr:col>
      <xdr:colOff>314325</xdr:colOff>
      <xdr:row>69</xdr:row>
      <xdr:rowOff>57150</xdr:rowOff>
    </xdr:to>
    <xdr:graphicFrame macro="">
      <xdr:nvGraphicFramePr>
        <xdr:cNvPr id="5" name="Chart 4">
          <a:extLst>
            <a:ext uri="{FF2B5EF4-FFF2-40B4-BE49-F238E27FC236}">
              <a16:creationId xmlns:a16="http://schemas.microsoft.com/office/drawing/2014/main" id="{73D2AD2D-E4F9-9081-8366-4FC2178AF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276225</xdr:colOff>
      <xdr:row>44</xdr:row>
      <xdr:rowOff>38101</xdr:rowOff>
    </xdr:from>
    <xdr:ext cx="1297305" cy="580190"/>
    <mc:AlternateContent xmlns:mc="http://schemas.openxmlformats.org/markup-compatibility/2006" xmlns:a14="http://schemas.microsoft.com/office/drawing/2010/main">
      <mc:Choice Requires="a14">
        <xdr:graphicFrame macro="">
          <xdr:nvGraphicFramePr>
            <xdr:cNvPr id="6" name="Gender 3">
              <a:extLst>
                <a:ext uri="{FF2B5EF4-FFF2-40B4-BE49-F238E27FC236}">
                  <a16:creationId xmlns:a16="http://schemas.microsoft.com/office/drawing/2014/main" id="{85820583-7F0B-3A2A-3922-6BC6D1D7BDDD}"/>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6734843" y="8493627"/>
              <a:ext cx="1297305" cy="5801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57150</xdr:colOff>
      <xdr:row>43</xdr:row>
      <xdr:rowOff>152400</xdr:rowOff>
    </xdr:from>
    <xdr:ext cx="1829803" cy="599574"/>
    <mc:AlternateContent xmlns:mc="http://schemas.openxmlformats.org/markup-compatibility/2006" xmlns:a14="http://schemas.microsoft.com/office/drawing/2010/main">
      <mc:Choice Requires="a14">
        <xdr:graphicFrame macro="">
          <xdr:nvGraphicFramePr>
            <xdr:cNvPr id="7" name="Payment_Method 3">
              <a:extLst>
                <a:ext uri="{FF2B5EF4-FFF2-40B4-BE49-F238E27FC236}">
                  <a16:creationId xmlns:a16="http://schemas.microsoft.com/office/drawing/2014/main" id="{E44E49CE-F962-3BB9-F96B-8F428358CAFD}"/>
                </a:ext>
              </a:extLst>
            </xdr:cNvPr>
            <xdr:cNvGraphicFramePr/>
          </xdr:nvGraphicFramePr>
          <xdr:xfrm>
            <a:off x="0" y="0"/>
            <a:ext cx="0" cy="0"/>
          </xdr:xfrm>
          <a:graphic>
            <a:graphicData uri="http://schemas.microsoft.com/office/drawing/2010/slicer">
              <sle:slicer xmlns:sle="http://schemas.microsoft.com/office/drawing/2010/slicer" name="Payment_Method 3"/>
            </a:graphicData>
          </a:graphic>
        </xdr:graphicFrame>
      </mc:Choice>
      <mc:Fallback xmlns="">
        <xdr:sp macro="" textlink="">
          <xdr:nvSpPr>
            <xdr:cNvPr id="0" name=""/>
            <xdr:cNvSpPr>
              <a:spLocks noTextEdit="1"/>
            </xdr:cNvSpPr>
          </xdr:nvSpPr>
          <xdr:spPr>
            <a:xfrm>
              <a:off x="9565439" y="8415755"/>
              <a:ext cx="1829803" cy="599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10</xdr:col>
      <xdr:colOff>50131</xdr:colOff>
      <xdr:row>5</xdr:row>
      <xdr:rowOff>50132</xdr:rowOff>
    </xdr:from>
    <xdr:to>
      <xdr:col>12</xdr:col>
      <xdr:colOff>426117</xdr:colOff>
      <xdr:row>11</xdr:row>
      <xdr:rowOff>149225</xdr:rowOff>
    </xdr:to>
    <mc:AlternateContent xmlns:mc="http://schemas.openxmlformats.org/markup-compatibility/2006" xmlns:tsle="http://schemas.microsoft.com/office/drawing/2012/timeslicer">
      <mc:Choice Requires="tsle">
        <xdr:graphicFrame macro="">
          <xdr:nvGraphicFramePr>
            <xdr:cNvPr id="8" name="Order_Date 2">
              <a:extLst>
                <a:ext uri="{FF2B5EF4-FFF2-40B4-BE49-F238E27FC236}">
                  <a16:creationId xmlns:a16="http://schemas.microsoft.com/office/drawing/2014/main" id="{93339F24-0CAB-AC23-1B71-E780E5C51D06}"/>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7803815" y="1010987"/>
              <a:ext cx="1595855" cy="12521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5</xdr:row>
      <xdr:rowOff>176212</xdr:rowOff>
    </xdr:from>
    <xdr:to>
      <xdr:col>6</xdr:col>
      <xdr:colOff>561975</xdr:colOff>
      <xdr:row>20</xdr:row>
      <xdr:rowOff>61912</xdr:rowOff>
    </xdr:to>
    <xdr:graphicFrame macro="">
      <xdr:nvGraphicFramePr>
        <xdr:cNvPr id="2" name="Chart 1">
          <a:extLst>
            <a:ext uri="{FF2B5EF4-FFF2-40B4-BE49-F238E27FC236}">
              <a16:creationId xmlns:a16="http://schemas.microsoft.com/office/drawing/2014/main" id="{8C76AEF9-7020-FEA4-99D5-4FD6C06F1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xdr:colOff>
      <xdr:row>22</xdr:row>
      <xdr:rowOff>90487</xdr:rowOff>
    </xdr:from>
    <xdr:to>
      <xdr:col>6</xdr:col>
      <xdr:colOff>571500</xdr:colOff>
      <xdr:row>36</xdr:row>
      <xdr:rowOff>166687</xdr:rowOff>
    </xdr:to>
    <xdr:graphicFrame macro="">
      <xdr:nvGraphicFramePr>
        <xdr:cNvPr id="3" name="Chart 2">
          <a:extLst>
            <a:ext uri="{FF2B5EF4-FFF2-40B4-BE49-F238E27FC236}">
              <a16:creationId xmlns:a16="http://schemas.microsoft.com/office/drawing/2014/main" id="{0E4A4B6F-7026-FFA0-6791-446EE77B7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xdr:colOff>
      <xdr:row>38</xdr:row>
      <xdr:rowOff>76200</xdr:rowOff>
    </xdr:from>
    <xdr:to>
      <xdr:col>6</xdr:col>
      <xdr:colOff>514350</xdr:colOff>
      <xdr:row>52</xdr:row>
      <xdr:rowOff>152400</xdr:rowOff>
    </xdr:to>
    <xdr:graphicFrame macro="">
      <xdr:nvGraphicFramePr>
        <xdr:cNvPr id="4" name="Chart 3">
          <a:extLst>
            <a:ext uri="{FF2B5EF4-FFF2-40B4-BE49-F238E27FC236}">
              <a16:creationId xmlns:a16="http://schemas.microsoft.com/office/drawing/2014/main" id="{22C69C7E-946D-9EF5-F5AC-2BF3A4689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95250</xdr:colOff>
      <xdr:row>54</xdr:row>
      <xdr:rowOff>0</xdr:rowOff>
    </xdr:from>
    <xdr:to>
      <xdr:col>7</xdr:col>
      <xdr:colOff>419100</xdr:colOff>
      <xdr:row>69</xdr:row>
      <xdr:rowOff>66675</xdr:rowOff>
    </xdr:to>
    <xdr:graphicFrame macro="">
      <xdr:nvGraphicFramePr>
        <xdr:cNvPr id="5" name="Chart 4">
          <a:extLst>
            <a:ext uri="{FF2B5EF4-FFF2-40B4-BE49-F238E27FC236}">
              <a16:creationId xmlns:a16="http://schemas.microsoft.com/office/drawing/2014/main" id="{3267D8C5-544C-1002-F517-11F3823B2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285750</xdr:colOff>
      <xdr:row>1</xdr:row>
      <xdr:rowOff>123826</xdr:rowOff>
    </xdr:from>
    <xdr:to>
      <xdr:col>10</xdr:col>
      <xdr:colOff>285750</xdr:colOff>
      <xdr:row>4</xdr:row>
      <xdr:rowOff>161926</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44C93BF1-6556-4AFD-A48C-A0A580F5917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686550" y="314326"/>
              <a:ext cx="1828800"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161925</xdr:colOff>
      <xdr:row>1</xdr:row>
      <xdr:rowOff>114301</xdr:rowOff>
    </xdr:from>
    <xdr:to>
      <xdr:col>16</xdr:col>
      <xdr:colOff>421005</xdr:colOff>
      <xdr:row>5</xdr:row>
      <xdr:rowOff>19050</xdr:rowOff>
    </xdr:to>
    <mc:AlternateContent xmlns:mc="http://schemas.openxmlformats.org/markup-compatibility/2006" xmlns:a14="http://schemas.microsoft.com/office/drawing/2010/main">
      <mc:Choice Requires="a14">
        <xdr:graphicFrame macro="">
          <xdr:nvGraphicFramePr>
            <xdr:cNvPr id="7" name="Payment_Method">
              <a:extLst>
                <a:ext uri="{FF2B5EF4-FFF2-40B4-BE49-F238E27FC236}">
                  <a16:creationId xmlns:a16="http://schemas.microsoft.com/office/drawing/2014/main" id="{DC538945-9A22-214D-042F-94ACEB10386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9610725" y="304801"/>
              <a:ext cx="2697480"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95250</xdr:colOff>
      <xdr:row>46</xdr:row>
      <xdr:rowOff>180975</xdr:rowOff>
    </xdr:from>
    <xdr:to>
      <xdr:col>11</xdr:col>
      <xdr:colOff>582930</xdr:colOff>
      <xdr:row>54</xdr:row>
      <xdr:rowOff>28575</xdr:rowOff>
    </xdr:to>
    <mc:AlternateContent xmlns:mc="http://schemas.openxmlformats.org/markup-compatibility/2006" xmlns:tsle="http://schemas.microsoft.com/office/drawing/2012/timeslicer">
      <mc:Choice Requires="tsle">
        <xdr:graphicFrame macro="">
          <xdr:nvGraphicFramePr>
            <xdr:cNvPr id="8" name="Order_Date">
              <a:extLst>
                <a:ext uri="{FF2B5EF4-FFF2-40B4-BE49-F238E27FC236}">
                  <a16:creationId xmlns:a16="http://schemas.microsoft.com/office/drawing/2014/main" id="{8D7C39C8-60DE-C0BD-07BC-94D2A394CEC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6496050" y="8943975"/>
              <a:ext cx="292608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575551</xdr:colOff>
      <xdr:row>0</xdr:row>
      <xdr:rowOff>1</xdr:rowOff>
    </xdr:from>
    <xdr:to>
      <xdr:col>22</xdr:col>
      <xdr:colOff>400598</xdr:colOff>
      <xdr:row>50</xdr:row>
      <xdr:rowOff>29767</xdr:rowOff>
    </xdr:to>
    <xdr:sp macro="" textlink="">
      <xdr:nvSpPr>
        <xdr:cNvPr id="2" name="Rectangle 1">
          <a:extLst>
            <a:ext uri="{FF2B5EF4-FFF2-40B4-BE49-F238E27FC236}">
              <a16:creationId xmlns:a16="http://schemas.microsoft.com/office/drawing/2014/main" id="{C7441DAF-F82F-280E-49F3-6FADED488C3E}"/>
            </a:ext>
          </a:extLst>
        </xdr:cNvPr>
        <xdr:cNvSpPr/>
      </xdr:nvSpPr>
      <xdr:spPr>
        <a:xfrm>
          <a:off x="575551" y="1"/>
          <a:ext cx="13249344" cy="9703594"/>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284656</xdr:colOff>
      <xdr:row>0</xdr:row>
      <xdr:rowOff>142327</xdr:rowOff>
    </xdr:from>
    <xdr:to>
      <xdr:col>10</xdr:col>
      <xdr:colOff>401836</xdr:colOff>
      <xdr:row>5</xdr:row>
      <xdr:rowOff>131379</xdr:rowOff>
    </xdr:to>
    <xdr:sp macro="" textlink="">
      <xdr:nvSpPr>
        <xdr:cNvPr id="3" name="Rectangle: Rounded Corners 2">
          <a:extLst>
            <a:ext uri="{FF2B5EF4-FFF2-40B4-BE49-F238E27FC236}">
              <a16:creationId xmlns:a16="http://schemas.microsoft.com/office/drawing/2014/main" id="{5F790F62-5F8C-0489-F4C7-6C292D2AB730}"/>
            </a:ext>
          </a:extLst>
        </xdr:cNvPr>
        <xdr:cNvSpPr/>
      </xdr:nvSpPr>
      <xdr:spPr>
        <a:xfrm>
          <a:off x="894851" y="142327"/>
          <a:ext cx="5608938" cy="95643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a:solidFill>
                <a:schemeClr val="tx1"/>
              </a:solidFill>
              <a:latin typeface="Times New Roman" panose="02020603050405020304" pitchFamily="18" charset="0"/>
              <a:cs typeface="Times New Roman" panose="02020603050405020304" pitchFamily="18" charset="0"/>
            </a:rPr>
            <a:t>Sales Performances Overview</a:t>
          </a:r>
        </a:p>
        <a:p>
          <a:pPr algn="l"/>
          <a:r>
            <a:rPr lang="en-US" sz="1200" b="1">
              <a:solidFill>
                <a:schemeClr val="tx1"/>
              </a:solidFill>
              <a:latin typeface="Times New Roman" panose="02020603050405020304" pitchFamily="18" charset="0"/>
              <a:cs typeface="Times New Roman" panose="02020603050405020304" pitchFamily="18" charset="0"/>
            </a:rPr>
            <a:t>An Executive Summary</a:t>
          </a:r>
          <a:r>
            <a:rPr lang="en-US" sz="1200" b="1" baseline="0">
              <a:solidFill>
                <a:schemeClr val="tx1"/>
              </a:solidFill>
              <a:latin typeface="Times New Roman" panose="02020603050405020304" pitchFamily="18" charset="0"/>
              <a:cs typeface="Times New Roman" panose="02020603050405020304" pitchFamily="18" charset="0"/>
            </a:rPr>
            <a:t> of Sales Performance and Growth Pattern</a:t>
          </a:r>
          <a:r>
            <a:rPr lang="en-US" sz="2800" b="1">
              <a:solidFill>
                <a:schemeClr val="tx1"/>
              </a:solidFill>
              <a:latin typeface="Times New Roman" panose="02020603050405020304" pitchFamily="18" charset="0"/>
              <a:cs typeface="Times New Roman" panose="02020603050405020304" pitchFamily="18" charset="0"/>
            </a:rPr>
            <a:t> </a:t>
          </a:r>
        </a:p>
      </xdr:txBody>
    </xdr:sp>
    <xdr:clientData/>
  </xdr:twoCellAnchor>
  <xdr:twoCellAnchor>
    <xdr:from>
      <xdr:col>1</xdr:col>
      <xdr:colOff>273708</xdr:colOff>
      <xdr:row>6</xdr:row>
      <xdr:rowOff>175172</xdr:rowOff>
    </xdr:from>
    <xdr:to>
      <xdr:col>5</xdr:col>
      <xdr:colOff>426984</xdr:colOff>
      <xdr:row>11</xdr:row>
      <xdr:rowOff>131379</xdr:rowOff>
    </xdr:to>
    <xdr:sp macro="" textlink="'real pivot table'!$A$4">
      <xdr:nvSpPr>
        <xdr:cNvPr id="4" name="Rectangle: Top Corners Rounded 3">
          <a:extLst>
            <a:ext uri="{FF2B5EF4-FFF2-40B4-BE49-F238E27FC236}">
              <a16:creationId xmlns:a16="http://schemas.microsoft.com/office/drawing/2014/main" id="{18478D9D-5B8C-15E7-0D30-17C72B46BD9F}"/>
            </a:ext>
          </a:extLst>
        </xdr:cNvPr>
        <xdr:cNvSpPr/>
      </xdr:nvSpPr>
      <xdr:spPr>
        <a:xfrm>
          <a:off x="883903" y="1336031"/>
          <a:ext cx="2594058" cy="923590"/>
        </a:xfrm>
        <a:prstGeom prst="round2Same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Calibri"/>
              <a:cs typeface="Calibri"/>
            </a:rPr>
            <a:t>TOTAL ORDER RECIEVED</a:t>
          </a:r>
        </a:p>
        <a:p>
          <a:pPr algn="ctr"/>
          <a:endParaRPr lang="en-US" sz="1200" b="1" i="0" u="none" strike="noStrike">
            <a:solidFill>
              <a:srgbClr val="000000"/>
            </a:solidFill>
            <a:latin typeface="Calibri"/>
            <a:cs typeface="Calibri"/>
          </a:endParaRPr>
        </a:p>
        <a:p>
          <a:pPr algn="ctr"/>
          <a:fld id="{FB37C13A-176B-4CB2-89D2-89FBCE27E548}" type="TxLink">
            <a:rPr lang="en-US" sz="1200" b="1" i="0" u="none" strike="noStrike">
              <a:solidFill>
                <a:srgbClr val="000000"/>
              </a:solidFill>
              <a:latin typeface="Calibri"/>
              <a:cs typeface="Calibri"/>
            </a:rPr>
            <a:pPr algn="ctr"/>
            <a:t>150</a:t>
          </a:fld>
          <a:endParaRPr lang="en-US" sz="1200" b="1"/>
        </a:p>
      </xdr:txBody>
    </xdr:sp>
    <xdr:clientData/>
  </xdr:twoCellAnchor>
  <xdr:twoCellAnchor>
    <xdr:from>
      <xdr:col>6</xdr:col>
      <xdr:colOff>148157</xdr:colOff>
      <xdr:row>7</xdr:row>
      <xdr:rowOff>55</xdr:rowOff>
    </xdr:from>
    <xdr:to>
      <xdr:col>10</xdr:col>
      <xdr:colOff>301434</xdr:colOff>
      <xdr:row>11</xdr:row>
      <xdr:rowOff>142383</xdr:rowOff>
    </xdr:to>
    <xdr:sp macro="" textlink="'real pivot table'!$C$4">
      <xdr:nvSpPr>
        <xdr:cNvPr id="8" name="Rectangle: Top Corners Rounded 7">
          <a:extLst>
            <a:ext uri="{FF2B5EF4-FFF2-40B4-BE49-F238E27FC236}">
              <a16:creationId xmlns:a16="http://schemas.microsoft.com/office/drawing/2014/main" id="{D03DD904-5999-480B-9501-D206515AA58A}"/>
            </a:ext>
          </a:extLst>
        </xdr:cNvPr>
        <xdr:cNvSpPr/>
      </xdr:nvSpPr>
      <xdr:spPr>
        <a:xfrm>
          <a:off x="3791470" y="1333555"/>
          <a:ext cx="2582152" cy="904328"/>
        </a:xfrm>
        <a:prstGeom prst="round2Same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Calibri"/>
              <a:cs typeface="Calibri"/>
            </a:rPr>
            <a:t>TOTAL</a:t>
          </a:r>
          <a:r>
            <a:rPr lang="en-US" sz="1200" b="1" i="0" u="none" strike="noStrike" baseline="0">
              <a:solidFill>
                <a:srgbClr val="000000"/>
              </a:solidFill>
              <a:latin typeface="Calibri"/>
              <a:cs typeface="Calibri"/>
            </a:rPr>
            <a:t> REVENUE GENERATED</a:t>
          </a:r>
        </a:p>
        <a:p>
          <a:pPr algn="ctr"/>
          <a:endParaRPr lang="en-US" sz="1200" b="1" i="0" u="none" strike="noStrike" baseline="0">
            <a:solidFill>
              <a:srgbClr val="000000"/>
            </a:solidFill>
            <a:latin typeface="Calibri"/>
            <a:cs typeface="Calibri"/>
          </a:endParaRPr>
        </a:p>
        <a:p>
          <a:pPr algn="ctr"/>
          <a:fld id="{ED2E50AA-358E-43C1-9168-DAA777EAFFD9}" type="TxLink">
            <a:rPr lang="en-US" sz="1200" b="1" i="0" u="none" strike="noStrike">
              <a:solidFill>
                <a:srgbClr val="000000"/>
              </a:solidFill>
              <a:latin typeface="Calibri"/>
              <a:cs typeface="Calibri"/>
            </a:rPr>
            <a:pPr algn="ctr"/>
            <a:t> ₦210,041.26 </a:t>
          </a:fld>
          <a:endParaRPr lang="en-US" sz="1400" b="1"/>
        </a:p>
      </xdr:txBody>
    </xdr:sp>
    <xdr:clientData/>
  </xdr:twoCellAnchor>
  <xdr:twoCellAnchor>
    <xdr:from>
      <xdr:col>11</xdr:col>
      <xdr:colOff>117039</xdr:colOff>
      <xdr:row>7</xdr:row>
      <xdr:rowOff>11086</xdr:rowOff>
    </xdr:from>
    <xdr:to>
      <xdr:col>15</xdr:col>
      <xdr:colOff>264429</xdr:colOff>
      <xdr:row>11</xdr:row>
      <xdr:rowOff>153414</xdr:rowOff>
    </xdr:to>
    <xdr:sp macro="" textlink="'real pivot table'!$E$4">
      <xdr:nvSpPr>
        <xdr:cNvPr id="9" name="Rectangle: Top Corners Rounded 8">
          <a:extLst>
            <a:ext uri="{FF2B5EF4-FFF2-40B4-BE49-F238E27FC236}">
              <a16:creationId xmlns:a16="http://schemas.microsoft.com/office/drawing/2014/main" id="{D3ED81BC-1266-4841-A368-DBA81E79427B}"/>
            </a:ext>
          </a:extLst>
        </xdr:cNvPr>
        <xdr:cNvSpPr/>
      </xdr:nvSpPr>
      <xdr:spPr>
        <a:xfrm>
          <a:off x="6796445" y="1344586"/>
          <a:ext cx="2576265" cy="904328"/>
        </a:xfrm>
        <a:prstGeom prst="round2Same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mn-lt"/>
              <a:cs typeface="Calibri"/>
            </a:rPr>
            <a:t>TOTAL</a:t>
          </a:r>
          <a:r>
            <a:rPr lang="en-US" sz="1200" b="1" i="0" u="none" strike="noStrike" baseline="0">
              <a:solidFill>
                <a:srgbClr val="000000"/>
              </a:solidFill>
              <a:latin typeface="+mn-lt"/>
              <a:cs typeface="Calibri"/>
            </a:rPr>
            <a:t> QUANTITY SOLD</a:t>
          </a:r>
        </a:p>
        <a:p>
          <a:pPr algn="ctr"/>
          <a:endParaRPr lang="en-US" sz="1200" b="1" i="0" u="none" strike="noStrike" baseline="0">
            <a:solidFill>
              <a:srgbClr val="000000"/>
            </a:solidFill>
            <a:latin typeface="+mn-lt"/>
            <a:cs typeface="Calibri"/>
          </a:endParaRPr>
        </a:p>
        <a:p>
          <a:pPr algn="ctr"/>
          <a:fld id="{8A1293E8-A20F-4FCE-8299-5018EF76ECE9}" type="TxLink">
            <a:rPr lang="en-US" sz="1200" b="1" i="0" u="none" strike="noStrike">
              <a:solidFill>
                <a:srgbClr val="000000"/>
              </a:solidFill>
              <a:latin typeface="+mn-lt"/>
              <a:cs typeface="Calibri"/>
            </a:rPr>
            <a:pPr algn="ctr"/>
            <a:t>776</a:t>
          </a:fld>
          <a:endParaRPr lang="en-US" sz="1400" b="1">
            <a:latin typeface="+mn-lt"/>
          </a:endParaRPr>
        </a:p>
      </xdr:txBody>
    </xdr:sp>
    <xdr:clientData/>
  </xdr:twoCellAnchor>
  <xdr:twoCellAnchor editAs="oneCell">
    <xdr:from>
      <xdr:col>11</xdr:col>
      <xdr:colOff>63583</xdr:colOff>
      <xdr:row>0</xdr:row>
      <xdr:rowOff>160735</xdr:rowOff>
    </xdr:from>
    <xdr:to>
      <xdr:col>14</xdr:col>
      <xdr:colOff>178594</xdr:colOff>
      <xdr:row>4</xdr:row>
      <xdr:rowOff>133946</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2756A9BE-0D74-40E2-9590-1DBF55054F3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775731" y="160735"/>
              <a:ext cx="1945597" cy="7471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349333</xdr:colOff>
      <xdr:row>0</xdr:row>
      <xdr:rowOff>178594</xdr:rowOff>
    </xdr:from>
    <xdr:to>
      <xdr:col>18</xdr:col>
      <xdr:colOff>595312</xdr:colOff>
      <xdr:row>4</xdr:row>
      <xdr:rowOff>80366</xdr:rowOff>
    </xdr:to>
    <mc:AlternateContent xmlns:mc="http://schemas.openxmlformats.org/markup-compatibility/2006" xmlns:a14="http://schemas.microsoft.com/office/drawing/2010/main">
      <mc:Choice Requires="a14">
        <xdr:graphicFrame macro="">
          <xdr:nvGraphicFramePr>
            <xdr:cNvPr id="11" name="Payment_Method 1">
              <a:extLst>
                <a:ext uri="{FF2B5EF4-FFF2-40B4-BE49-F238E27FC236}">
                  <a16:creationId xmlns:a16="http://schemas.microsoft.com/office/drawing/2014/main" id="{ABA8544E-D9BA-4680-98E3-A78D01BDB235}"/>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8892067" y="178594"/>
              <a:ext cx="2686761" cy="675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277891</xdr:colOff>
      <xdr:row>12</xdr:row>
      <xdr:rowOff>166687</xdr:rowOff>
    </xdr:from>
    <xdr:to>
      <xdr:col>10</xdr:col>
      <xdr:colOff>535780</xdr:colOff>
      <xdr:row>27</xdr:row>
      <xdr:rowOff>52387</xdr:rowOff>
    </xdr:to>
    <xdr:graphicFrame macro="">
      <xdr:nvGraphicFramePr>
        <xdr:cNvPr id="12" name="Chart 11">
          <a:extLst>
            <a:ext uri="{FF2B5EF4-FFF2-40B4-BE49-F238E27FC236}">
              <a16:creationId xmlns:a16="http://schemas.microsoft.com/office/drawing/2014/main" id="{875DC20D-BE34-4E19-AE0F-49C9BA665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476251</xdr:colOff>
      <xdr:row>13</xdr:row>
      <xdr:rowOff>50601</xdr:rowOff>
    </xdr:from>
    <xdr:to>
      <xdr:col>21</xdr:col>
      <xdr:colOff>505303</xdr:colOff>
      <xdr:row>27</xdr:row>
      <xdr:rowOff>89297</xdr:rowOff>
    </xdr:to>
    <xdr:graphicFrame macro="">
      <xdr:nvGraphicFramePr>
        <xdr:cNvPr id="13" name="Chart 12">
          <a:extLst>
            <a:ext uri="{FF2B5EF4-FFF2-40B4-BE49-F238E27FC236}">
              <a16:creationId xmlns:a16="http://schemas.microsoft.com/office/drawing/2014/main" id="{1DFABEBC-EAD2-4C73-B9FE-7098B537B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273842</xdr:colOff>
      <xdr:row>28</xdr:row>
      <xdr:rowOff>107155</xdr:rowOff>
    </xdr:from>
    <xdr:to>
      <xdr:col>10</xdr:col>
      <xdr:colOff>580429</xdr:colOff>
      <xdr:row>47</xdr:row>
      <xdr:rowOff>142874</xdr:rowOff>
    </xdr:to>
    <xdr:graphicFrame macro="">
      <xdr:nvGraphicFramePr>
        <xdr:cNvPr id="14" name="Chart 13">
          <a:extLst>
            <a:ext uri="{FF2B5EF4-FFF2-40B4-BE49-F238E27FC236}">
              <a16:creationId xmlns:a16="http://schemas.microsoft.com/office/drawing/2014/main" id="{F2F1651E-A7B5-481B-AFF2-9B9DF8808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459464</xdr:colOff>
      <xdr:row>28</xdr:row>
      <xdr:rowOff>74414</xdr:rowOff>
    </xdr:from>
    <xdr:to>
      <xdr:col>21</xdr:col>
      <xdr:colOff>550663</xdr:colOff>
      <xdr:row>48</xdr:row>
      <xdr:rowOff>92274</xdr:rowOff>
    </xdr:to>
    <xdr:graphicFrame macro="">
      <xdr:nvGraphicFramePr>
        <xdr:cNvPr id="15" name="Chart 14">
          <a:extLst>
            <a:ext uri="{FF2B5EF4-FFF2-40B4-BE49-F238E27FC236}">
              <a16:creationId xmlns:a16="http://schemas.microsoft.com/office/drawing/2014/main" id="{489E87A0-414F-4B4A-B385-DA38C4480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14883</xdr:colOff>
      <xdr:row>0</xdr:row>
      <xdr:rowOff>163712</xdr:rowOff>
    </xdr:from>
    <xdr:to>
      <xdr:col>22</xdr:col>
      <xdr:colOff>242295</xdr:colOff>
      <xdr:row>7</xdr:row>
      <xdr:rowOff>178594</xdr:rowOff>
    </xdr:to>
    <mc:AlternateContent xmlns:mc="http://schemas.openxmlformats.org/markup-compatibility/2006" xmlns:tsle="http://schemas.microsoft.com/office/drawing/2012/timeslicer">
      <mc:Choice Requires="tsle">
        <xdr:graphicFrame macro="">
          <xdr:nvGraphicFramePr>
            <xdr:cNvPr id="16" name="Order_Date 1">
              <a:extLst>
                <a:ext uri="{FF2B5EF4-FFF2-40B4-BE49-F238E27FC236}">
                  <a16:creationId xmlns:a16="http://schemas.microsoft.com/office/drawing/2014/main" id="{E36115B3-DA6E-4B15-826E-4476E43A8138}"/>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1608594" y="163712"/>
              <a:ext cx="2057998" cy="136921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148830</xdr:colOff>
      <xdr:row>8</xdr:row>
      <xdr:rowOff>163711</xdr:rowOff>
    </xdr:from>
    <xdr:to>
      <xdr:col>3</xdr:col>
      <xdr:colOff>80963</xdr:colOff>
      <xdr:row>11</xdr:row>
      <xdr:rowOff>125610</xdr:rowOff>
    </xdr:to>
    <xdr:pic>
      <xdr:nvPicPr>
        <xdr:cNvPr id="6" name="Graphic 5" descr="Shopping cart">
          <a:extLst>
            <a:ext uri="{FF2B5EF4-FFF2-40B4-BE49-F238E27FC236}">
              <a16:creationId xmlns:a16="http://schemas.microsoft.com/office/drawing/2014/main" id="{8841F3E6-62C7-79ED-9004-47FD4D6C523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69221" y="1711524"/>
          <a:ext cx="542328" cy="542328"/>
        </a:xfrm>
        <a:prstGeom prst="rect">
          <a:avLst/>
        </a:prstGeom>
      </xdr:spPr>
    </xdr:pic>
    <xdr:clientData/>
  </xdr:twoCellAnchor>
  <xdr:twoCellAnchor editAs="oneCell">
    <xdr:from>
      <xdr:col>7</xdr:col>
      <xdr:colOff>104180</xdr:colOff>
      <xdr:row>1</xdr:row>
      <xdr:rowOff>14882</xdr:rowOff>
    </xdr:from>
    <xdr:to>
      <xdr:col>8</xdr:col>
      <xdr:colOff>14882</xdr:colOff>
      <xdr:row>3</xdr:row>
      <xdr:rowOff>148827</xdr:rowOff>
    </xdr:to>
    <xdr:pic>
      <xdr:nvPicPr>
        <xdr:cNvPr id="25" name="Graphic 24" descr="Coins">
          <a:extLst>
            <a:ext uri="{FF2B5EF4-FFF2-40B4-BE49-F238E27FC236}">
              <a16:creationId xmlns:a16="http://schemas.microsoft.com/office/drawing/2014/main" id="{94F8EA62-A6D8-9716-10FB-A31937F4A41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75547" y="208359"/>
          <a:ext cx="520898" cy="520898"/>
        </a:xfrm>
        <a:prstGeom prst="rect">
          <a:avLst/>
        </a:prstGeom>
      </xdr:spPr>
    </xdr:pic>
    <xdr:clientData/>
  </xdr:twoCellAnchor>
  <xdr:twoCellAnchor editAs="oneCell">
    <xdr:from>
      <xdr:col>12</xdr:col>
      <xdr:colOff>44649</xdr:colOff>
      <xdr:row>9</xdr:row>
      <xdr:rowOff>14882</xdr:rowOff>
    </xdr:from>
    <xdr:to>
      <xdr:col>12</xdr:col>
      <xdr:colOff>497682</xdr:colOff>
      <xdr:row>11</xdr:row>
      <xdr:rowOff>80962</xdr:rowOff>
    </xdr:to>
    <xdr:pic>
      <xdr:nvPicPr>
        <xdr:cNvPr id="29" name="Graphic 28" descr="Register">
          <a:extLst>
            <a:ext uri="{FF2B5EF4-FFF2-40B4-BE49-F238E27FC236}">
              <a16:creationId xmlns:a16="http://schemas.microsoft.com/office/drawing/2014/main" id="{1D2BB517-127E-A10B-3B24-DBE9FE405DD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366993" y="1756171"/>
          <a:ext cx="453033" cy="453033"/>
        </a:xfrm>
        <a:prstGeom prst="rect">
          <a:avLst/>
        </a:prstGeom>
      </xdr:spPr>
    </xdr:pic>
    <xdr:clientData/>
  </xdr:twoCellAnchor>
  <xdr:twoCellAnchor editAs="oneCell">
    <xdr:from>
      <xdr:col>7</xdr:col>
      <xdr:colOff>584002</xdr:colOff>
      <xdr:row>1</xdr:row>
      <xdr:rowOff>3571</xdr:rowOff>
    </xdr:from>
    <xdr:to>
      <xdr:col>8</xdr:col>
      <xdr:colOff>494704</xdr:colOff>
      <xdr:row>3</xdr:row>
      <xdr:rowOff>137516</xdr:rowOff>
    </xdr:to>
    <xdr:pic>
      <xdr:nvPicPr>
        <xdr:cNvPr id="30" name="Graphic 29" descr="Coins">
          <a:extLst>
            <a:ext uri="{FF2B5EF4-FFF2-40B4-BE49-F238E27FC236}">
              <a16:creationId xmlns:a16="http://schemas.microsoft.com/office/drawing/2014/main" id="{90666018-E45B-409B-8B3F-8B75DA37C5D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55369" y="197048"/>
          <a:ext cx="520898" cy="520898"/>
        </a:xfrm>
        <a:prstGeom prst="rect">
          <a:avLst/>
        </a:prstGeom>
      </xdr:spPr>
    </xdr:pic>
    <xdr:clientData/>
  </xdr:twoCellAnchor>
  <xdr:twoCellAnchor editAs="oneCell">
    <xdr:from>
      <xdr:col>6</xdr:col>
      <xdr:colOff>438745</xdr:colOff>
      <xdr:row>8</xdr:row>
      <xdr:rowOff>155971</xdr:rowOff>
    </xdr:from>
    <xdr:to>
      <xdr:col>7</xdr:col>
      <xdr:colOff>349448</xdr:colOff>
      <xdr:row>11</xdr:row>
      <xdr:rowOff>96440</xdr:rowOff>
    </xdr:to>
    <xdr:pic>
      <xdr:nvPicPr>
        <xdr:cNvPr id="31" name="Graphic 30" descr="Coins">
          <a:extLst>
            <a:ext uri="{FF2B5EF4-FFF2-40B4-BE49-F238E27FC236}">
              <a16:creationId xmlns:a16="http://schemas.microsoft.com/office/drawing/2014/main" id="{AE6C096E-D17A-4D56-B865-11F99C03FA9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99917" y="1703784"/>
          <a:ext cx="520898" cy="520898"/>
        </a:xfrm>
        <a:prstGeom prst="rect">
          <a:avLst/>
        </a:prstGeom>
      </xdr:spPr>
    </xdr:pic>
    <xdr:clientData/>
  </xdr:twoCellAnchor>
  <xdr:twoCellAnchor editAs="oneCell">
    <xdr:from>
      <xdr:col>13</xdr:col>
      <xdr:colOff>501015</xdr:colOff>
      <xdr:row>9</xdr:row>
      <xdr:rowOff>20015</xdr:rowOff>
    </xdr:from>
    <xdr:to>
      <xdr:col>14</xdr:col>
      <xdr:colOff>343853</xdr:colOff>
      <xdr:row>11</xdr:row>
      <xdr:rowOff>86095</xdr:rowOff>
    </xdr:to>
    <xdr:pic>
      <xdr:nvPicPr>
        <xdr:cNvPr id="32" name="Graphic 31" descr="Register">
          <a:extLst>
            <a:ext uri="{FF2B5EF4-FFF2-40B4-BE49-F238E27FC236}">
              <a16:creationId xmlns:a16="http://schemas.microsoft.com/office/drawing/2014/main" id="{57DA1BF3-E931-40C8-929F-48535098F21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433554" y="1761304"/>
          <a:ext cx="453033" cy="453033"/>
        </a:xfrm>
        <a:prstGeom prst="rect">
          <a:avLst/>
        </a:prstGeom>
      </xdr:spPr>
    </xdr:pic>
    <xdr:clientData/>
  </xdr:twoCellAnchor>
  <xdr:twoCellAnchor editAs="oneCell">
    <xdr:from>
      <xdr:col>9</xdr:col>
      <xdr:colOff>85650</xdr:colOff>
      <xdr:row>8</xdr:row>
      <xdr:rowOff>172695</xdr:rowOff>
    </xdr:from>
    <xdr:to>
      <xdr:col>9</xdr:col>
      <xdr:colOff>606548</xdr:colOff>
      <xdr:row>11</xdr:row>
      <xdr:rowOff>113164</xdr:rowOff>
    </xdr:to>
    <xdr:pic>
      <xdr:nvPicPr>
        <xdr:cNvPr id="33" name="Graphic 32" descr="Coins">
          <a:extLst>
            <a:ext uri="{FF2B5EF4-FFF2-40B4-BE49-F238E27FC236}">
              <a16:creationId xmlns:a16="http://schemas.microsoft.com/office/drawing/2014/main" id="{1CDBE604-889F-4F23-8FC8-80115F013BF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77408" y="1720508"/>
          <a:ext cx="520898" cy="520898"/>
        </a:xfrm>
        <a:prstGeom prst="rect">
          <a:avLst/>
        </a:prstGeom>
      </xdr:spPr>
    </xdr:pic>
    <xdr:clientData/>
  </xdr:twoCellAnchor>
  <xdr:twoCellAnchor editAs="oneCell">
    <xdr:from>
      <xdr:col>3</xdr:col>
      <xdr:colOff>590434</xdr:colOff>
      <xdr:row>8</xdr:row>
      <xdr:rowOff>163711</xdr:rowOff>
    </xdr:from>
    <xdr:to>
      <xdr:col>4</xdr:col>
      <xdr:colOff>522567</xdr:colOff>
      <xdr:row>11</xdr:row>
      <xdr:rowOff>125610</xdr:rowOff>
    </xdr:to>
    <xdr:pic>
      <xdr:nvPicPr>
        <xdr:cNvPr id="34" name="Graphic 33" descr="Shopping cart">
          <a:extLst>
            <a:ext uri="{FF2B5EF4-FFF2-40B4-BE49-F238E27FC236}">
              <a16:creationId xmlns:a16="http://schemas.microsoft.com/office/drawing/2014/main" id="{1421279C-8BA3-4414-8AC1-F0B7558B854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2421020" y="1711524"/>
          <a:ext cx="542328" cy="5423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xdr:colOff>
      <xdr:row>0</xdr:row>
      <xdr:rowOff>0</xdr:rowOff>
    </xdr:from>
    <xdr:to>
      <xdr:col>20</xdr:col>
      <xdr:colOff>209551</xdr:colOff>
      <xdr:row>48</xdr:row>
      <xdr:rowOff>127774</xdr:rowOff>
    </xdr:to>
    <xdr:sp macro="" textlink="">
      <xdr:nvSpPr>
        <xdr:cNvPr id="2" name="Rectangle 1">
          <a:extLst>
            <a:ext uri="{FF2B5EF4-FFF2-40B4-BE49-F238E27FC236}">
              <a16:creationId xmlns:a16="http://schemas.microsoft.com/office/drawing/2014/main" id="{31BD5EA1-194B-B646-0E86-0BCFAE6526F1}"/>
            </a:ext>
          </a:extLst>
        </xdr:cNvPr>
        <xdr:cNvSpPr/>
      </xdr:nvSpPr>
      <xdr:spPr>
        <a:xfrm>
          <a:off x="604025" y="0"/>
          <a:ext cx="11686014" cy="904875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592408</xdr:colOff>
      <xdr:row>0</xdr:row>
      <xdr:rowOff>92928</xdr:rowOff>
    </xdr:from>
    <xdr:to>
      <xdr:col>11</xdr:col>
      <xdr:colOff>418171</xdr:colOff>
      <xdr:row>4</xdr:row>
      <xdr:rowOff>116159</xdr:rowOff>
    </xdr:to>
    <xdr:sp macro="" textlink="">
      <xdr:nvSpPr>
        <xdr:cNvPr id="3" name="Rectangle: Rounded Corners 2">
          <a:extLst>
            <a:ext uri="{FF2B5EF4-FFF2-40B4-BE49-F238E27FC236}">
              <a16:creationId xmlns:a16="http://schemas.microsoft.com/office/drawing/2014/main" id="{DE7692CF-3D8C-6C64-45AC-56897AB3207E}"/>
            </a:ext>
          </a:extLst>
        </xdr:cNvPr>
        <xdr:cNvSpPr/>
      </xdr:nvSpPr>
      <xdr:spPr>
        <a:xfrm>
          <a:off x="592408" y="92928"/>
          <a:ext cx="6470031" cy="766646"/>
        </a:xfrm>
        <a:prstGeom prst="roundRect">
          <a:avLst/>
        </a:prstGeom>
        <a:solidFill>
          <a:srgbClr val="5982C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latin typeface="Times New Roman" panose="02020603050405020304" pitchFamily="18" charset="0"/>
              <a:cs typeface="Times New Roman" panose="02020603050405020304" pitchFamily="18" charset="0"/>
            </a:rPr>
            <a:t>SALES PERFORMANCE ANALYSIS</a:t>
          </a:r>
        </a:p>
        <a:p>
          <a:pPr algn="ctr"/>
          <a:r>
            <a:rPr lang="en-US" sz="1200" b="1">
              <a:solidFill>
                <a:schemeClr val="bg1"/>
              </a:solidFill>
              <a:latin typeface="Times New Roman" panose="02020603050405020304" pitchFamily="18" charset="0"/>
              <a:cs typeface="Times New Roman" panose="02020603050405020304" pitchFamily="18" charset="0"/>
            </a:rPr>
            <a:t>A Comprehensive View Of Sales Performance</a:t>
          </a:r>
          <a:r>
            <a:rPr lang="en-US" sz="1200" b="1" baseline="0">
              <a:solidFill>
                <a:schemeClr val="bg1"/>
              </a:solidFill>
              <a:latin typeface="Times New Roman" panose="02020603050405020304" pitchFamily="18" charset="0"/>
              <a:cs typeface="Times New Roman" panose="02020603050405020304" pitchFamily="18" charset="0"/>
            </a:rPr>
            <a:t> And Distribution </a:t>
          </a:r>
          <a:endParaRPr lang="en-US" sz="12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476992</xdr:colOff>
      <xdr:row>1</xdr:row>
      <xdr:rowOff>0</xdr:rowOff>
    </xdr:from>
    <xdr:to>
      <xdr:col>2</xdr:col>
      <xdr:colOff>522711</xdr:colOff>
      <xdr:row>3</xdr:row>
      <xdr:rowOff>174238</xdr:rowOff>
    </xdr:to>
    <xdr:sp macro="" textlink="">
      <xdr:nvSpPr>
        <xdr:cNvPr id="4" name="Rectangle 3">
          <a:extLst>
            <a:ext uri="{FF2B5EF4-FFF2-40B4-BE49-F238E27FC236}">
              <a16:creationId xmlns:a16="http://schemas.microsoft.com/office/drawing/2014/main" id="{D10A0D64-6115-57DD-27DA-72B7976E4F9C}"/>
            </a:ext>
          </a:extLst>
        </xdr:cNvPr>
        <xdr:cNvSpPr/>
      </xdr:nvSpPr>
      <xdr:spPr>
        <a:xfrm flipH="1">
          <a:off x="1685041" y="185854"/>
          <a:ext cx="45719" cy="54594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453019</xdr:colOff>
      <xdr:row>5</xdr:row>
      <xdr:rowOff>174237</xdr:rowOff>
    </xdr:from>
    <xdr:to>
      <xdr:col>5</xdr:col>
      <xdr:colOff>185854</xdr:colOff>
      <xdr:row>10</xdr:row>
      <xdr:rowOff>159368</xdr:rowOff>
    </xdr:to>
    <xdr:sp macro="" textlink="'pivot table '!A4">
      <xdr:nvSpPr>
        <xdr:cNvPr id="8" name="Rectangle: Rounded Corners 7">
          <a:extLst>
            <a:ext uri="{FF2B5EF4-FFF2-40B4-BE49-F238E27FC236}">
              <a16:creationId xmlns:a16="http://schemas.microsoft.com/office/drawing/2014/main" id="{FEBFF90C-5B4A-7E4B-F58F-AC3BCE4E0EB4}"/>
            </a:ext>
          </a:extLst>
        </xdr:cNvPr>
        <xdr:cNvSpPr/>
      </xdr:nvSpPr>
      <xdr:spPr>
        <a:xfrm>
          <a:off x="1057043" y="1103505"/>
          <a:ext cx="2148933" cy="9144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mn-lt"/>
              <a:cs typeface="Calibri"/>
            </a:rPr>
            <a:t>Total Order</a:t>
          </a:r>
          <a:r>
            <a:rPr lang="en-US" sz="1200" b="1" i="0" u="none" strike="noStrike" baseline="0">
              <a:solidFill>
                <a:srgbClr val="000000"/>
              </a:solidFill>
              <a:latin typeface="+mn-lt"/>
              <a:cs typeface="Calibri"/>
            </a:rPr>
            <a:t> Recieved</a:t>
          </a:r>
        </a:p>
        <a:p>
          <a:pPr algn="ctr"/>
          <a:endParaRPr lang="en-US" sz="1200" b="1" i="0" u="none" strike="noStrike" baseline="0">
            <a:solidFill>
              <a:srgbClr val="000000"/>
            </a:solidFill>
            <a:latin typeface="+mn-lt"/>
            <a:cs typeface="Calibri"/>
          </a:endParaRPr>
        </a:p>
        <a:p>
          <a:pPr algn="ctr"/>
          <a:fld id="{50B9A912-E1CE-41AE-871F-9195AF7D586C}" type="TxLink">
            <a:rPr lang="en-US" sz="1200" b="1" i="0" u="none" strike="noStrike">
              <a:solidFill>
                <a:srgbClr val="000000"/>
              </a:solidFill>
              <a:latin typeface="+mn-lt"/>
              <a:cs typeface="Calibri"/>
            </a:rPr>
            <a:pPr algn="ctr"/>
            <a:t>150</a:t>
          </a:fld>
          <a:endParaRPr lang="en-US" sz="1600" b="1">
            <a:latin typeface="+mn-lt"/>
          </a:endParaRPr>
        </a:p>
      </xdr:txBody>
    </xdr:sp>
    <xdr:clientData/>
  </xdr:twoCellAnchor>
  <xdr:twoCellAnchor>
    <xdr:from>
      <xdr:col>5</xdr:col>
      <xdr:colOff>582184</xdr:colOff>
      <xdr:row>6</xdr:row>
      <xdr:rowOff>1393</xdr:rowOff>
    </xdr:from>
    <xdr:to>
      <xdr:col>9</xdr:col>
      <xdr:colOff>557559</xdr:colOff>
      <xdr:row>10</xdr:row>
      <xdr:rowOff>172378</xdr:rowOff>
    </xdr:to>
    <xdr:sp macro="" textlink="'pivot table '!C4">
      <xdr:nvSpPr>
        <xdr:cNvPr id="9" name="Rectangle: Rounded Corners 8">
          <a:extLst>
            <a:ext uri="{FF2B5EF4-FFF2-40B4-BE49-F238E27FC236}">
              <a16:creationId xmlns:a16="http://schemas.microsoft.com/office/drawing/2014/main" id="{E39BDFAA-989C-43B2-B7F1-0B79D38F7DFA}"/>
            </a:ext>
          </a:extLst>
        </xdr:cNvPr>
        <xdr:cNvSpPr/>
      </xdr:nvSpPr>
      <xdr:spPr>
        <a:xfrm>
          <a:off x="3602306" y="1116515"/>
          <a:ext cx="2391473" cy="9144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Calibri"/>
              <a:cs typeface="Calibri"/>
            </a:rPr>
            <a:t>Total Revenue Generated</a:t>
          </a:r>
        </a:p>
        <a:p>
          <a:pPr algn="ctr"/>
          <a:endParaRPr lang="en-US" sz="1200" b="1" i="0" u="none" strike="noStrike">
            <a:solidFill>
              <a:srgbClr val="000000"/>
            </a:solidFill>
            <a:latin typeface="Calibri"/>
            <a:cs typeface="Calibri"/>
          </a:endParaRPr>
        </a:p>
        <a:p>
          <a:pPr algn="ctr"/>
          <a:fld id="{285ED9ED-D91A-4DB2-B033-3D76809D1582}" type="TxLink">
            <a:rPr lang="en-US" sz="1200" b="1" i="0" u="none" strike="noStrike">
              <a:solidFill>
                <a:srgbClr val="000000"/>
              </a:solidFill>
              <a:latin typeface="Calibri"/>
              <a:cs typeface="Calibri"/>
            </a:rPr>
            <a:pPr algn="ctr"/>
            <a:t>$210,041.26</a:t>
          </a:fld>
          <a:endParaRPr lang="en-US" sz="1400" b="1"/>
        </a:p>
      </xdr:txBody>
    </xdr:sp>
    <xdr:clientData/>
  </xdr:twoCellAnchor>
  <xdr:twoCellAnchor>
    <xdr:from>
      <xdr:col>10</xdr:col>
      <xdr:colOff>444188</xdr:colOff>
      <xdr:row>6</xdr:row>
      <xdr:rowOff>14402</xdr:rowOff>
    </xdr:from>
    <xdr:to>
      <xdr:col>14</xdr:col>
      <xdr:colOff>151006</xdr:colOff>
      <xdr:row>10</xdr:row>
      <xdr:rowOff>185387</xdr:rowOff>
    </xdr:to>
    <xdr:sp macro="" textlink="'pivot table '!E4">
      <xdr:nvSpPr>
        <xdr:cNvPr id="10" name="Rectangle: Rounded Corners 9">
          <a:extLst>
            <a:ext uri="{FF2B5EF4-FFF2-40B4-BE49-F238E27FC236}">
              <a16:creationId xmlns:a16="http://schemas.microsoft.com/office/drawing/2014/main" id="{3618DC91-594A-4F19-8C79-FEB47A3EB321}"/>
            </a:ext>
          </a:extLst>
        </xdr:cNvPr>
        <xdr:cNvSpPr/>
      </xdr:nvSpPr>
      <xdr:spPr>
        <a:xfrm>
          <a:off x="6484432" y="1129524"/>
          <a:ext cx="2122915" cy="9144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000000"/>
              </a:solidFill>
              <a:latin typeface="Calibri"/>
              <a:cs typeface="Calibri"/>
            </a:rPr>
            <a:t>Total Quantity Sold</a:t>
          </a:r>
        </a:p>
        <a:p>
          <a:pPr algn="ctr"/>
          <a:endParaRPr lang="en-US" sz="1200" b="1" i="0" u="none" strike="noStrike">
            <a:solidFill>
              <a:srgbClr val="000000"/>
            </a:solidFill>
            <a:latin typeface="Calibri"/>
            <a:cs typeface="Calibri"/>
          </a:endParaRPr>
        </a:p>
        <a:p>
          <a:pPr algn="ctr"/>
          <a:fld id="{C42D9C08-D338-4741-A300-592A40030697}" type="TxLink">
            <a:rPr lang="en-US" sz="1200" b="1" i="0" u="none" strike="noStrike">
              <a:solidFill>
                <a:srgbClr val="000000"/>
              </a:solidFill>
              <a:latin typeface="Calibri"/>
              <a:cs typeface="Calibri"/>
            </a:rPr>
            <a:pPr algn="ctr"/>
            <a:t>776</a:t>
          </a:fld>
          <a:endParaRPr lang="en-US" sz="1600" b="1">
            <a:solidFill>
              <a:schemeClr val="tx1"/>
            </a:solidFill>
          </a:endParaRPr>
        </a:p>
      </xdr:txBody>
    </xdr:sp>
    <xdr:clientData/>
  </xdr:twoCellAnchor>
  <xdr:twoCellAnchor>
    <xdr:from>
      <xdr:col>1</xdr:col>
      <xdr:colOff>243934</xdr:colOff>
      <xdr:row>12</xdr:row>
      <xdr:rowOff>23231</xdr:rowOff>
    </xdr:from>
    <xdr:to>
      <xdr:col>10</xdr:col>
      <xdr:colOff>185854</xdr:colOff>
      <xdr:row>27</xdr:row>
      <xdr:rowOff>2021</xdr:rowOff>
    </xdr:to>
    <xdr:graphicFrame macro="">
      <xdr:nvGraphicFramePr>
        <xdr:cNvPr id="5" name="Chart 4">
          <a:extLst>
            <a:ext uri="{FF2B5EF4-FFF2-40B4-BE49-F238E27FC236}">
              <a16:creationId xmlns:a16="http://schemas.microsoft.com/office/drawing/2014/main" id="{D9CD9AF6-9739-49CE-A67C-B09B4A162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209086</xdr:colOff>
      <xdr:row>12</xdr:row>
      <xdr:rowOff>34847</xdr:rowOff>
    </xdr:from>
    <xdr:to>
      <xdr:col>19</xdr:col>
      <xdr:colOff>499482</xdr:colOff>
      <xdr:row>27</xdr:row>
      <xdr:rowOff>15308</xdr:rowOff>
    </xdr:to>
    <xdr:graphicFrame macro="">
      <xdr:nvGraphicFramePr>
        <xdr:cNvPr id="6" name="Chart 5">
          <a:extLst>
            <a:ext uri="{FF2B5EF4-FFF2-40B4-BE49-F238E27FC236}">
              <a16:creationId xmlns:a16="http://schemas.microsoft.com/office/drawing/2014/main" id="{FE63D878-98F3-4865-ACC1-CC3971350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232317</xdr:colOff>
      <xdr:row>28</xdr:row>
      <xdr:rowOff>69696</xdr:rowOff>
    </xdr:from>
    <xdr:to>
      <xdr:col>10</xdr:col>
      <xdr:colOff>162622</xdr:colOff>
      <xdr:row>46</xdr:row>
      <xdr:rowOff>151006</xdr:rowOff>
    </xdr:to>
    <xdr:graphicFrame macro="">
      <xdr:nvGraphicFramePr>
        <xdr:cNvPr id="7" name="Chart 6">
          <a:extLst>
            <a:ext uri="{FF2B5EF4-FFF2-40B4-BE49-F238E27FC236}">
              <a16:creationId xmlns:a16="http://schemas.microsoft.com/office/drawing/2014/main" id="{34D6C9A8-EFB0-4D19-8D3A-54787E343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220702</xdr:colOff>
      <xdr:row>28</xdr:row>
      <xdr:rowOff>69695</xdr:rowOff>
    </xdr:from>
    <xdr:to>
      <xdr:col>19</xdr:col>
      <xdr:colOff>499482</xdr:colOff>
      <xdr:row>46</xdr:row>
      <xdr:rowOff>139390</xdr:rowOff>
    </xdr:to>
    <xdr:graphicFrame macro="">
      <xdr:nvGraphicFramePr>
        <xdr:cNvPr id="16" name="Chart 15">
          <a:extLst>
            <a:ext uri="{FF2B5EF4-FFF2-40B4-BE49-F238E27FC236}">
              <a16:creationId xmlns:a16="http://schemas.microsoft.com/office/drawing/2014/main" id="{2BF7DF18-AC41-482A-9D6A-668F0773D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255550</xdr:colOff>
      <xdr:row>0</xdr:row>
      <xdr:rowOff>116159</xdr:rowOff>
    </xdr:from>
    <xdr:to>
      <xdr:col>20</xdr:col>
      <xdr:colOff>39332</xdr:colOff>
      <xdr:row>7</xdr:row>
      <xdr:rowOff>67303</xdr:rowOff>
    </xdr:to>
    <mc:AlternateContent xmlns:mc="http://schemas.openxmlformats.org/markup-compatibility/2006" xmlns:tsle="http://schemas.microsoft.com/office/drawing/2012/timeslicer">
      <mc:Choice Requires="tsle">
        <xdr:graphicFrame macro="">
          <xdr:nvGraphicFramePr>
            <xdr:cNvPr id="17" name="Order_Date 3">
              <a:extLst>
                <a:ext uri="{FF2B5EF4-FFF2-40B4-BE49-F238E27FC236}">
                  <a16:creationId xmlns:a16="http://schemas.microsoft.com/office/drawing/2014/main" id="{937440CE-20C8-4124-A5C9-7AE1247EB8C4}"/>
                </a:ext>
              </a:extLst>
            </xdr:cNvPr>
            <xdr:cNvGraphicFramePr/>
          </xdr:nvGraphicFramePr>
          <xdr:xfrm>
            <a:off x="0" y="0"/>
            <a:ext cx="0" cy="0"/>
          </xdr:xfrm>
          <a:graphic>
            <a:graphicData uri="http://schemas.microsoft.com/office/drawing/2012/timeslicer">
              <tsle:timeslicer name="Order_Date 3"/>
            </a:graphicData>
          </a:graphic>
        </xdr:graphicFrame>
      </mc:Choice>
      <mc:Fallback xmlns="">
        <xdr:sp macro="" textlink="">
          <xdr:nvSpPr>
            <xdr:cNvPr id="0" name=""/>
            <xdr:cNvSpPr>
              <a:spLocks noTextEdit="1"/>
            </xdr:cNvSpPr>
          </xdr:nvSpPr>
          <xdr:spPr>
            <a:xfrm>
              <a:off x="10523965" y="116159"/>
              <a:ext cx="1595855" cy="12521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11</xdr:col>
      <xdr:colOff>500877</xdr:colOff>
      <xdr:row>0</xdr:row>
      <xdr:rowOff>140784</xdr:rowOff>
    </xdr:from>
    <xdr:ext cx="1297305" cy="580190"/>
    <mc:AlternateContent xmlns:mc="http://schemas.openxmlformats.org/markup-compatibility/2006" xmlns:a14="http://schemas.microsoft.com/office/drawing/2010/main">
      <mc:Choice Requires="a14">
        <xdr:graphicFrame macro="">
          <xdr:nvGraphicFramePr>
            <xdr:cNvPr id="19" name="Gender 5">
              <a:extLst>
                <a:ext uri="{FF2B5EF4-FFF2-40B4-BE49-F238E27FC236}">
                  <a16:creationId xmlns:a16="http://schemas.microsoft.com/office/drawing/2014/main" id="{79AB59ED-AEA0-42EF-80CB-B6E95ECDF51D}"/>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7145145" y="140784"/>
              <a:ext cx="1297305" cy="5801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14</xdr:col>
      <xdr:colOff>81312</xdr:colOff>
      <xdr:row>0</xdr:row>
      <xdr:rowOff>162622</xdr:rowOff>
    </xdr:from>
    <xdr:ext cx="1829803" cy="599574"/>
    <mc:AlternateContent xmlns:mc="http://schemas.openxmlformats.org/markup-compatibility/2006" xmlns:a14="http://schemas.microsoft.com/office/drawing/2010/main">
      <mc:Choice Requires="a14">
        <xdr:graphicFrame macro="">
          <xdr:nvGraphicFramePr>
            <xdr:cNvPr id="20" name="Payment_Method 4">
              <a:extLst>
                <a:ext uri="{FF2B5EF4-FFF2-40B4-BE49-F238E27FC236}">
                  <a16:creationId xmlns:a16="http://schemas.microsoft.com/office/drawing/2014/main" id="{8A978CCD-EB00-4965-A0CA-4C91E0B3C2D7}"/>
                </a:ext>
              </a:extLst>
            </xdr:cNvPr>
            <xdr:cNvGraphicFramePr/>
          </xdr:nvGraphicFramePr>
          <xdr:xfrm>
            <a:off x="0" y="0"/>
            <a:ext cx="0" cy="0"/>
          </xdr:xfrm>
          <a:graphic>
            <a:graphicData uri="http://schemas.microsoft.com/office/drawing/2010/slicer">
              <sle:slicer xmlns:sle="http://schemas.microsoft.com/office/drawing/2010/slicer" name="Payment_Method 4"/>
            </a:graphicData>
          </a:graphic>
        </xdr:graphicFrame>
      </mc:Choice>
      <mc:Fallback xmlns="">
        <xdr:sp macro="" textlink="">
          <xdr:nvSpPr>
            <xdr:cNvPr id="0" name=""/>
            <xdr:cNvSpPr>
              <a:spLocks noTextEdit="1"/>
            </xdr:cNvSpPr>
          </xdr:nvSpPr>
          <xdr:spPr>
            <a:xfrm>
              <a:off x="8537653" y="162622"/>
              <a:ext cx="1829803" cy="599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1</xdr:col>
      <xdr:colOff>325244</xdr:colOff>
      <xdr:row>0</xdr:row>
      <xdr:rowOff>127774</xdr:rowOff>
    </xdr:from>
    <xdr:to>
      <xdr:col>2</xdr:col>
      <xdr:colOff>394938</xdr:colOff>
      <xdr:row>4</xdr:row>
      <xdr:rowOff>58078</xdr:rowOff>
    </xdr:to>
    <xdr:pic>
      <xdr:nvPicPr>
        <xdr:cNvPr id="12" name="Graphic 11" descr="Bar graph with upward trend">
          <a:extLst>
            <a:ext uri="{FF2B5EF4-FFF2-40B4-BE49-F238E27FC236}">
              <a16:creationId xmlns:a16="http://schemas.microsoft.com/office/drawing/2014/main" id="{722B497E-5CC3-F07D-79C3-9274035B13D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29268" y="127774"/>
          <a:ext cx="673719" cy="673719"/>
        </a:xfrm>
        <a:prstGeom prst="rect">
          <a:avLst/>
        </a:prstGeom>
      </xdr:spPr>
    </xdr:pic>
    <xdr:clientData/>
  </xdr:twoCellAnchor>
  <xdr:twoCellAnchor editAs="oneCell">
    <xdr:from>
      <xdr:col>6</xdr:col>
      <xdr:colOff>336860</xdr:colOff>
      <xdr:row>8</xdr:row>
      <xdr:rowOff>11616</xdr:rowOff>
    </xdr:from>
    <xdr:to>
      <xdr:col>7</xdr:col>
      <xdr:colOff>139390</xdr:colOff>
      <xdr:row>10</xdr:row>
      <xdr:rowOff>46463</xdr:rowOff>
    </xdr:to>
    <xdr:pic>
      <xdr:nvPicPr>
        <xdr:cNvPr id="18" name="Graphic 17" descr="Money">
          <a:extLst>
            <a:ext uri="{FF2B5EF4-FFF2-40B4-BE49-F238E27FC236}">
              <a16:creationId xmlns:a16="http://schemas.microsoft.com/office/drawing/2014/main" id="{915DF633-4D50-CB35-7327-7FB6B9D5DE7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61006" y="1498445"/>
          <a:ext cx="406555" cy="406555"/>
        </a:xfrm>
        <a:prstGeom prst="rect">
          <a:avLst/>
        </a:prstGeom>
      </xdr:spPr>
    </xdr:pic>
    <xdr:clientData/>
  </xdr:twoCellAnchor>
  <xdr:twoCellAnchor editAs="oneCell">
    <xdr:from>
      <xdr:col>9</xdr:col>
      <xdr:colOff>557561</xdr:colOff>
      <xdr:row>0</xdr:row>
      <xdr:rowOff>116158</xdr:rowOff>
    </xdr:from>
    <xdr:to>
      <xdr:col>10</xdr:col>
      <xdr:colOff>592409</xdr:colOff>
      <xdr:row>4</xdr:row>
      <xdr:rowOff>11615</xdr:rowOff>
    </xdr:to>
    <xdr:pic>
      <xdr:nvPicPr>
        <xdr:cNvPr id="22" name="Graphic 21" descr="Atom">
          <a:extLst>
            <a:ext uri="{FF2B5EF4-FFF2-40B4-BE49-F238E27FC236}">
              <a16:creationId xmlns:a16="http://schemas.microsoft.com/office/drawing/2014/main" id="{7BDF6CE0-6644-DBD6-2C35-F42DA395931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93781" y="116158"/>
          <a:ext cx="638872" cy="638872"/>
        </a:xfrm>
        <a:prstGeom prst="rect">
          <a:avLst/>
        </a:prstGeom>
      </xdr:spPr>
    </xdr:pic>
    <xdr:clientData/>
  </xdr:twoCellAnchor>
  <xdr:twoCellAnchor editAs="oneCell">
    <xdr:from>
      <xdr:col>7</xdr:col>
      <xdr:colOff>242928</xdr:colOff>
      <xdr:row>28</xdr:row>
      <xdr:rowOff>103538</xdr:rowOff>
    </xdr:from>
    <xdr:to>
      <xdr:col>7</xdr:col>
      <xdr:colOff>592410</xdr:colOff>
      <xdr:row>30</xdr:row>
      <xdr:rowOff>81312</xdr:rowOff>
    </xdr:to>
    <xdr:pic>
      <xdr:nvPicPr>
        <xdr:cNvPr id="26" name="Graphic 25" descr="Target Audience">
          <a:extLst>
            <a:ext uri="{FF2B5EF4-FFF2-40B4-BE49-F238E27FC236}">
              <a16:creationId xmlns:a16="http://schemas.microsoft.com/office/drawing/2014/main" id="{4FACD540-4A30-CD6F-C07D-3D2E5F25F59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71099" y="5307440"/>
          <a:ext cx="349482" cy="349482"/>
        </a:xfrm>
        <a:prstGeom prst="rect">
          <a:avLst/>
        </a:prstGeom>
      </xdr:spPr>
    </xdr:pic>
    <xdr:clientData/>
  </xdr:twoCellAnchor>
  <xdr:twoCellAnchor editAs="oneCell">
    <xdr:from>
      <xdr:col>17</xdr:col>
      <xdr:colOff>290395</xdr:colOff>
      <xdr:row>28</xdr:row>
      <xdr:rowOff>81311</xdr:rowOff>
    </xdr:from>
    <xdr:to>
      <xdr:col>18</xdr:col>
      <xdr:colOff>81311</xdr:colOff>
      <xdr:row>30</xdr:row>
      <xdr:rowOff>104543</xdr:rowOff>
    </xdr:to>
    <xdr:pic>
      <xdr:nvPicPr>
        <xdr:cNvPr id="30" name="Graphic 29" descr="User network">
          <a:extLst>
            <a:ext uri="{FF2B5EF4-FFF2-40B4-BE49-F238E27FC236}">
              <a16:creationId xmlns:a16="http://schemas.microsoft.com/office/drawing/2014/main" id="{C2C2D422-E27A-2EAE-1E86-5A2E56CC3EA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558810" y="5285213"/>
          <a:ext cx="394940" cy="394940"/>
        </a:xfrm>
        <a:prstGeom prst="rect">
          <a:avLst/>
        </a:prstGeom>
      </xdr:spPr>
    </xdr:pic>
    <xdr:clientData/>
  </xdr:twoCellAnchor>
  <xdr:twoCellAnchor editAs="oneCell">
    <xdr:from>
      <xdr:col>2</xdr:col>
      <xdr:colOff>383323</xdr:colOff>
      <xdr:row>8</xdr:row>
      <xdr:rowOff>58079</xdr:rowOff>
    </xdr:from>
    <xdr:to>
      <xdr:col>3</xdr:col>
      <xdr:colOff>188874</xdr:colOff>
      <xdr:row>10</xdr:row>
      <xdr:rowOff>95946</xdr:rowOff>
    </xdr:to>
    <xdr:pic>
      <xdr:nvPicPr>
        <xdr:cNvPr id="31" name="Graphic 30" descr="Shopping cart">
          <a:extLst>
            <a:ext uri="{FF2B5EF4-FFF2-40B4-BE49-F238E27FC236}">
              <a16:creationId xmlns:a16="http://schemas.microsoft.com/office/drawing/2014/main" id="{C741CAB2-7061-456C-A30C-6A165B399893}"/>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591372" y="1544908"/>
          <a:ext cx="409575" cy="409575"/>
        </a:xfrm>
        <a:prstGeom prst="rect">
          <a:avLst/>
        </a:prstGeom>
      </xdr:spPr>
    </xdr:pic>
    <xdr:clientData/>
  </xdr:twoCellAnchor>
  <xdr:twoCellAnchor editAs="oneCell">
    <xdr:from>
      <xdr:col>3</xdr:col>
      <xdr:colOff>454412</xdr:colOff>
      <xdr:row>8</xdr:row>
      <xdr:rowOff>71089</xdr:rowOff>
    </xdr:from>
    <xdr:to>
      <xdr:col>4</xdr:col>
      <xdr:colOff>259962</xdr:colOff>
      <xdr:row>10</xdr:row>
      <xdr:rowOff>108956</xdr:rowOff>
    </xdr:to>
    <xdr:pic>
      <xdr:nvPicPr>
        <xdr:cNvPr id="32" name="Graphic 31" descr="Shopping cart">
          <a:extLst>
            <a:ext uri="{FF2B5EF4-FFF2-40B4-BE49-F238E27FC236}">
              <a16:creationId xmlns:a16="http://schemas.microsoft.com/office/drawing/2014/main" id="{C750DF1C-E50F-4432-9F6B-64E2563B284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flipH="1">
          <a:off x="2266485" y="1557918"/>
          <a:ext cx="409575" cy="409575"/>
        </a:xfrm>
        <a:prstGeom prst="rect">
          <a:avLst/>
        </a:prstGeom>
      </xdr:spPr>
    </xdr:pic>
    <xdr:clientData/>
  </xdr:twoCellAnchor>
  <xdr:twoCellAnchor editAs="oneCell">
    <xdr:from>
      <xdr:col>8</xdr:col>
      <xdr:colOff>373101</xdr:colOff>
      <xdr:row>8</xdr:row>
      <xdr:rowOff>13010</xdr:rowOff>
    </xdr:from>
    <xdr:to>
      <xdr:col>9</xdr:col>
      <xdr:colOff>175631</xdr:colOff>
      <xdr:row>10</xdr:row>
      <xdr:rowOff>47857</xdr:rowOff>
    </xdr:to>
    <xdr:pic>
      <xdr:nvPicPr>
        <xdr:cNvPr id="33" name="Graphic 32" descr="Money">
          <a:extLst>
            <a:ext uri="{FF2B5EF4-FFF2-40B4-BE49-F238E27FC236}">
              <a16:creationId xmlns:a16="http://schemas.microsoft.com/office/drawing/2014/main" id="{0CE61852-A675-474D-BF54-8AB39805B91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05296" y="1499839"/>
          <a:ext cx="406555" cy="406555"/>
        </a:xfrm>
        <a:prstGeom prst="rect">
          <a:avLst/>
        </a:prstGeom>
      </xdr:spPr>
    </xdr:pic>
    <xdr:clientData/>
  </xdr:twoCellAnchor>
  <xdr:twoCellAnchor editAs="oneCell">
    <xdr:from>
      <xdr:col>12</xdr:col>
      <xdr:colOff>548731</xdr:colOff>
      <xdr:row>8</xdr:row>
      <xdr:rowOff>84098</xdr:rowOff>
    </xdr:from>
    <xdr:to>
      <xdr:col>13</xdr:col>
      <xdr:colOff>267165</xdr:colOff>
      <xdr:row>10</xdr:row>
      <xdr:rowOff>45765</xdr:rowOff>
    </xdr:to>
    <xdr:pic>
      <xdr:nvPicPr>
        <xdr:cNvPr id="34" name="Graphic 33" descr="Register">
          <a:extLst>
            <a:ext uri="{FF2B5EF4-FFF2-40B4-BE49-F238E27FC236}">
              <a16:creationId xmlns:a16="http://schemas.microsoft.com/office/drawing/2014/main" id="{C9ED9129-4E46-415C-978C-D482F699E02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7797024" y="1570927"/>
          <a:ext cx="322458" cy="333375"/>
        </a:xfrm>
        <a:prstGeom prst="rect">
          <a:avLst/>
        </a:prstGeom>
      </xdr:spPr>
    </xdr:pic>
    <xdr:clientData/>
  </xdr:twoCellAnchor>
  <xdr:twoCellAnchor editAs="oneCell">
    <xdr:from>
      <xdr:col>11</xdr:col>
      <xdr:colOff>329424</xdr:colOff>
      <xdr:row>8</xdr:row>
      <xdr:rowOff>108723</xdr:rowOff>
    </xdr:from>
    <xdr:to>
      <xdr:col>12</xdr:col>
      <xdr:colOff>58774</xdr:colOff>
      <xdr:row>10</xdr:row>
      <xdr:rowOff>70390</xdr:rowOff>
    </xdr:to>
    <xdr:pic>
      <xdr:nvPicPr>
        <xdr:cNvPr id="35" name="Graphic 34" descr="Register">
          <a:extLst>
            <a:ext uri="{FF2B5EF4-FFF2-40B4-BE49-F238E27FC236}">
              <a16:creationId xmlns:a16="http://schemas.microsoft.com/office/drawing/2014/main" id="{7BF011F3-0687-466F-AF42-9C6FA949A34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973692" y="1595552"/>
          <a:ext cx="333375" cy="3333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304800</xdr:colOff>
      <xdr:row>4</xdr:row>
      <xdr:rowOff>152400</xdr:rowOff>
    </xdr:to>
    <xdr:pic>
      <xdr:nvPicPr>
        <xdr:cNvPr id="2" name="Graphic 1" descr="Upward trend">
          <a:extLst>
            <a:ext uri="{FF2B5EF4-FFF2-40B4-BE49-F238E27FC236}">
              <a16:creationId xmlns:a16="http://schemas.microsoft.com/office/drawing/2014/main" id="{80637F51-D927-4988-A68C-A7FFD8B845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914400" cy="914400"/>
        </a:xfrm>
        <a:prstGeom prst="rect">
          <a:avLst/>
        </a:prstGeom>
      </xdr:spPr>
    </xdr:pic>
    <xdr:clientData/>
  </xdr:twoCellAnchor>
  <xdr:twoCellAnchor editAs="oneCell">
    <xdr:from>
      <xdr:col>9</xdr:col>
      <xdr:colOff>0</xdr:colOff>
      <xdr:row>13</xdr:row>
      <xdr:rowOff>0</xdr:rowOff>
    </xdr:from>
    <xdr:to>
      <xdr:col>10</xdr:col>
      <xdr:colOff>304800</xdr:colOff>
      <xdr:row>17</xdr:row>
      <xdr:rowOff>152400</xdr:rowOff>
    </xdr:to>
    <xdr:pic>
      <xdr:nvPicPr>
        <xdr:cNvPr id="3" name="Graphic 2" descr="Meeting">
          <a:extLst>
            <a:ext uri="{FF2B5EF4-FFF2-40B4-BE49-F238E27FC236}">
              <a16:creationId xmlns:a16="http://schemas.microsoft.com/office/drawing/2014/main" id="{C275E280-0046-455F-8332-19F612B2106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86400" y="2476500"/>
          <a:ext cx="914400" cy="914400"/>
        </a:xfrm>
        <a:prstGeom prst="rect">
          <a:avLst/>
        </a:prstGeom>
      </xdr:spPr>
    </xdr:pic>
    <xdr:clientData/>
  </xdr:twoCellAnchor>
  <xdr:twoCellAnchor editAs="oneCell">
    <xdr:from>
      <xdr:col>13</xdr:col>
      <xdr:colOff>0</xdr:colOff>
      <xdr:row>8</xdr:row>
      <xdr:rowOff>0</xdr:rowOff>
    </xdr:from>
    <xdr:to>
      <xdr:col>14</xdr:col>
      <xdr:colOff>374495</xdr:colOff>
      <xdr:row>13</xdr:row>
      <xdr:rowOff>31595</xdr:rowOff>
    </xdr:to>
    <xdr:pic>
      <xdr:nvPicPr>
        <xdr:cNvPr id="4" name="Graphic 3" descr="Group brainstorm">
          <a:extLst>
            <a:ext uri="{FF2B5EF4-FFF2-40B4-BE49-F238E27FC236}">
              <a16:creationId xmlns:a16="http://schemas.microsoft.com/office/drawing/2014/main" id="{FE73C764-F679-42F8-82AA-99C152FC6D2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924800" y="1524000"/>
          <a:ext cx="984095" cy="98409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8.028421527779" createdVersion="8" refreshedVersion="8" minRefreshableVersion="3" recordCount="150" xr:uid="{29751AEC-453D-4CB4-832F-B38A78596ABF}">
  <cacheSource type="worksheet">
    <worksheetSource name="Table1"/>
  </cacheSource>
  <cacheFields count="12">
    <cacheField name="Order_ID" numFmtId="49">
      <sharedItems count="150">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 v="ORD061"/>
        <s v="ORD062"/>
        <s v="ORD063"/>
        <s v="ORD064"/>
        <s v="ORD065"/>
        <s v="ORD066"/>
        <s v="ORD067"/>
        <s v="ORD068"/>
        <s v="ORD069"/>
        <s v="ORD070"/>
        <s v="ORD071"/>
        <s v="ORD072"/>
        <s v="ORD073"/>
        <s v="ORD074"/>
        <s v="ORD075"/>
        <s v="ORD076"/>
        <s v="ORD077"/>
        <s v="ORD078"/>
        <s v="ORD079"/>
        <s v="ORD080"/>
        <s v="ORD081"/>
        <s v="ORD082"/>
        <s v="ORD083"/>
        <s v="ORD084"/>
        <s v="ORD085"/>
        <s v="ORD086"/>
        <s v="ORD087"/>
        <s v="ORD088"/>
        <s v="ORD089"/>
        <s v="ORD090"/>
        <s v="ORD091"/>
        <s v="ORD092"/>
        <s v="ORD093"/>
        <s v="ORD094"/>
        <s v="ORD095"/>
        <s v="ORD096"/>
        <s v="ORD097"/>
        <s v="ORD098"/>
        <s v="ORD099"/>
        <s v="ORD100"/>
        <s v="ORD101"/>
        <s v="ORD102"/>
        <s v="ORD103"/>
        <s v="ORD104"/>
        <s v="ORD105"/>
        <s v="ORD106"/>
        <s v="ORD107"/>
        <s v="ORD108"/>
        <s v="ORD109"/>
        <s v="ORD110"/>
        <s v="ORD111"/>
        <s v="ORD112"/>
        <s v="ORD113"/>
        <s v="ORD114"/>
        <s v="ORD115"/>
        <s v="ORD116"/>
        <s v="ORD117"/>
        <s v="ORD118"/>
        <s v="ORD119"/>
        <s v="ORD120"/>
        <s v="ORD121"/>
        <s v="ORD122"/>
        <s v="ORD123"/>
        <s v="ORD124"/>
        <s v="ORD125"/>
        <s v="ORD126"/>
        <s v="ORD127"/>
        <s v="ORD128"/>
        <s v="ORD129"/>
        <s v="ORD130"/>
        <s v="ORD131"/>
        <s v="ORD132"/>
        <s v="ORD133"/>
        <s v="ORD134"/>
        <s v="ORD135"/>
        <s v="ORD136"/>
        <s v="ORD137"/>
        <s v="ORD138"/>
        <s v="ORD139"/>
        <s v="ORD140"/>
        <s v="ORD141"/>
        <s v="ORD142"/>
        <s v="ORD143"/>
        <s v="ORD144"/>
        <s v="ORD145"/>
        <s v="ORD146"/>
        <s v="ORD147"/>
        <s v="ORD148"/>
        <s v="ORD149"/>
        <s v="ORD150"/>
      </sharedItems>
    </cacheField>
    <cacheField name="Customer_Name" numFmtId="49">
      <sharedItems count="11">
        <s v="John"/>
        <s v="Sarah"/>
        <s v="Michael"/>
        <s v="Daniel"/>
        <s v="Esther"/>
        <s v="James"/>
        <s v="Not given"/>
        <s v="Mary"/>
        <s v="Deborah"/>
        <s v="David"/>
        <s v="Grace"/>
      </sharedItems>
    </cacheField>
    <cacheField name="Gender" numFmtId="49">
      <sharedItems count="2">
        <s v="M"/>
        <s v="F"/>
      </sharedItems>
    </cacheField>
    <cacheField name="Region" numFmtId="49">
      <sharedItems count="6">
        <s v="Lagos"/>
        <s v="Ibadan"/>
        <s v="Kano"/>
        <s v="NOT GIVEN"/>
        <s v="Abuja"/>
        <s v="Port Harcourt"/>
      </sharedItems>
    </cacheField>
    <cacheField name="Product_Category" numFmtId="49">
      <sharedItems count="4">
        <s v="Fashion"/>
        <s v="Groceries"/>
        <s v="Electronics"/>
        <s v="Home Appliances"/>
      </sharedItems>
    </cacheField>
    <cacheField name="Product_Name" numFmtId="49">
      <sharedItems/>
    </cacheField>
    <cacheField name="Quantity" numFmtId="1">
      <sharedItems containsSemiMixedTypes="0" containsString="0" containsNumber="1" containsInteger="1" minValue="1" maxValue="10"/>
    </cacheField>
    <cacheField name="Unit_Price" numFmtId="164">
      <sharedItems containsSemiMixedTypes="0" containsString="0" containsNumber="1" minValue="10.82" maxValue="499.98"/>
    </cacheField>
    <cacheField name="Total_Sales" numFmtId="164">
      <sharedItems containsSemiMixedTypes="0" containsString="0" containsNumber="1" minValue="43.28" maxValue="4836.3999999999996"/>
    </cacheField>
    <cacheField name="Order_Date" numFmtId="14">
      <sharedItems containsSemiMixedTypes="0" containsNonDate="0" containsDate="1" containsString="0" minDate="2025-01-01T00:00:00" maxDate="2025-12-28T00:00:00" count="122">
        <d v="2025-08-28T00:00:00"/>
        <d v="2025-11-22T00:00:00"/>
        <d v="2025-02-11T00:00:00"/>
        <d v="2025-08-13T00:00:00"/>
        <d v="2025-02-10T00:00:00"/>
        <d v="2025-11-04T00:00:00"/>
        <d v="2025-05-29T00:00:00"/>
        <d v="2025-11-26T00:00:00"/>
        <d v="2025-08-19T00:00:00"/>
        <d v="2025-06-29T00:00:00"/>
        <d v="2025-11-23T00:00:00"/>
        <d v="2025-09-06T00:00:00"/>
        <d v="2025-04-17T00:00:00"/>
        <d v="2025-05-22T00:00:00"/>
        <d v="2025-04-05T00:00:00"/>
        <d v="2025-01-12T00:00:00"/>
        <d v="2025-10-31T00:00:00"/>
        <d v="2025-09-16T00:00:00"/>
        <d v="2025-07-26T00:00:00"/>
        <d v="2025-08-23T00:00:00"/>
        <d v="2025-12-03T00:00:00"/>
        <d v="2025-10-07T00:00:00"/>
        <d v="2025-07-01T00:00:00"/>
        <d v="2025-01-25T00:00:00"/>
        <d v="2025-09-15T00:00:00"/>
        <d v="2025-06-08T00:00:00"/>
        <d v="2025-05-13T00:00:00"/>
        <d v="2025-05-12T00:00:00"/>
        <d v="2025-06-25T00:00:00"/>
        <d v="2025-10-01T00:00:00"/>
        <d v="2025-09-23T00:00:00"/>
        <d v="2025-10-16T00:00:00"/>
        <d v="2025-10-21T00:00:00"/>
        <d v="2025-10-26T00:00:00"/>
        <d v="2025-07-23T00:00:00"/>
        <d v="2025-10-08T00:00:00"/>
        <d v="2025-06-20T00:00:00"/>
        <d v="2025-09-18T00:00:00"/>
        <d v="2025-09-07T00:00:00"/>
        <d v="2025-05-16T00:00:00"/>
        <d v="2025-01-03T00:00:00"/>
        <d v="2025-06-13T00:00:00"/>
        <d v="2025-11-24T00:00:00"/>
        <d v="2025-09-26T00:00:00"/>
        <d v="2025-11-07T00:00:00"/>
        <d v="2025-06-26T00:00:00"/>
        <d v="2025-01-01T00:00:00"/>
        <d v="2025-09-21T00:00:00"/>
        <d v="2025-03-28T00:00:00"/>
        <d v="2025-05-23T00:00:00"/>
        <d v="2025-09-10T00:00:00"/>
        <d v="2025-03-07T00:00:00"/>
        <d v="2025-03-05T00:00:00"/>
        <d v="2025-10-24T00:00:00"/>
        <d v="2025-02-20T00:00:00"/>
        <d v="2025-06-22T00:00:00"/>
        <d v="2025-01-31T00:00:00"/>
        <d v="2025-05-28T00:00:00"/>
        <d v="2025-02-02T00:00:00"/>
        <d v="2025-08-08T00:00:00"/>
        <d v="2025-02-13T00:00:00"/>
        <d v="2025-09-12T00:00:00"/>
        <d v="2025-04-03T00:00:00"/>
        <d v="2025-04-25T00:00:00"/>
        <d v="2025-04-30T00:00:00"/>
        <d v="2025-09-30T00:00:00"/>
        <d v="2025-12-20T00:00:00"/>
        <d v="2025-12-16T00:00:00"/>
        <d v="2025-08-16T00:00:00"/>
        <d v="2025-01-13T00:00:00"/>
        <d v="2025-03-01T00:00:00"/>
        <d v="2025-08-01T00:00:00"/>
        <d v="2025-08-27T00:00:00"/>
        <d v="2025-11-11T00:00:00"/>
        <d v="2025-05-02T00:00:00"/>
        <d v="2025-02-04T00:00:00"/>
        <d v="2025-09-20T00:00:00"/>
        <d v="2025-09-08T00:00:00"/>
        <d v="2025-08-06T00:00:00"/>
        <d v="2025-11-13T00:00:00"/>
        <d v="2025-04-23T00:00:00"/>
        <d v="2025-08-14T00:00:00"/>
        <d v="2025-03-23T00:00:00"/>
        <d v="2025-04-27T00:00:00"/>
        <d v="2025-10-11T00:00:00"/>
        <d v="2025-09-11T00:00:00"/>
        <d v="2025-03-16T00:00:00"/>
        <d v="2025-11-15T00:00:00"/>
        <d v="2025-12-09T00:00:00"/>
        <d v="2025-09-01T00:00:00"/>
        <d v="2025-04-16T00:00:00"/>
        <d v="2025-12-24T00:00:00"/>
        <d v="2025-04-14T00:00:00"/>
        <d v="2025-05-11T00:00:00"/>
        <d v="2025-07-21T00:00:00"/>
        <d v="2025-08-10T00:00:00"/>
        <d v="2025-05-21T00:00:00"/>
        <d v="2025-11-25T00:00:00"/>
        <d v="2025-07-31T00:00:00"/>
        <d v="2025-11-27T00:00:00"/>
        <d v="2025-05-17T00:00:00"/>
        <d v="2025-05-08T00:00:00"/>
        <d v="2025-06-12T00:00:00"/>
        <d v="2025-03-30T00:00:00"/>
        <d v="2025-12-04T00:00:00"/>
        <d v="2025-05-20T00:00:00"/>
        <d v="2025-05-24T00:00:00"/>
        <d v="2025-07-24T00:00:00"/>
        <d v="2025-08-21T00:00:00"/>
        <d v="2025-01-21T00:00:00"/>
        <d v="2025-10-22T00:00:00"/>
        <d v="2025-03-06T00:00:00"/>
        <d v="2025-04-06T00:00:00"/>
        <d v="2025-07-08T00:00:00"/>
        <d v="2025-05-10T00:00:00"/>
        <d v="2025-09-28T00:00:00"/>
        <d v="2025-08-04T00:00:00"/>
        <d v="2025-12-27T00:00:00"/>
        <d v="2025-03-19T00:00:00"/>
        <d v="2025-08-07T00:00:00"/>
        <d v="2025-05-18T00:00:00"/>
        <d v="2025-10-10T00:00:00"/>
      </sharedItems>
    </cacheField>
    <cacheField name="Payment_Method" numFmtId="49">
      <sharedItems count="3">
        <s v="cash"/>
        <s v="POS"/>
        <s v="Transfer"/>
      </sharedItems>
    </cacheField>
    <cacheField name="Sales_Rep" numFmtId="49">
      <sharedItems count="5">
        <s v="Tolu"/>
        <s v="Femi"/>
        <s v="Amaka"/>
        <s v="Joy"/>
        <s v="Ahmed"/>
      </sharedItems>
    </cacheField>
  </cacheFields>
  <extLst>
    <ext xmlns:x14="http://schemas.microsoft.com/office/spreadsheetml/2009/9/main" uri="{725AE2AE-9491-48be-B2B4-4EB974FC3084}">
      <x14:pivotCacheDefinition pivotCacheId="2770527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8.028422337964" createdVersion="8" refreshedVersion="8" minRefreshableVersion="3" recordCount="150" xr:uid="{7F495AC0-A3C9-4A84-AF20-BC892AF0E12C}">
  <cacheSource type="worksheet">
    <worksheetSource name="Table14"/>
  </cacheSource>
  <cacheFields count="13">
    <cacheField name="Order_ID" numFmtId="49">
      <sharedItems/>
    </cacheField>
    <cacheField name="Customer_Name" numFmtId="49">
      <sharedItems/>
    </cacheField>
    <cacheField name="Gender" numFmtId="49">
      <sharedItems count="2">
        <s v="M"/>
        <s v="F"/>
      </sharedItems>
    </cacheField>
    <cacheField name="Region" numFmtId="49">
      <sharedItems count="6">
        <s v="Lagos"/>
        <s v="Ibadan"/>
        <s v="Kano"/>
        <s v="NOT GIVEN"/>
        <s v="Abuja"/>
        <s v="Port Harcourt"/>
      </sharedItems>
    </cacheField>
    <cacheField name="Product_Category" numFmtId="49">
      <sharedItems count="4">
        <s v="Fashion"/>
        <s v="Groceries"/>
        <s v="Electronics"/>
        <s v="Home Appliances"/>
      </sharedItems>
    </cacheField>
    <cacheField name="Product_Name" numFmtId="49">
      <sharedItems count="12">
        <s v="Shirt"/>
        <s v="Milk"/>
        <s v="Phone"/>
        <s v="Fan"/>
        <s v="Oil"/>
        <s v="Rice"/>
        <s v="Laptop"/>
        <s v="Blender"/>
        <s v="Headset"/>
        <s v="Microwave"/>
        <s v="Bag"/>
        <s v="Shoes"/>
      </sharedItems>
    </cacheField>
    <cacheField name="Quantity" numFmtId="1">
      <sharedItems containsSemiMixedTypes="0" containsString="0" containsNumber="1" containsInteger="1" minValue="1" maxValue="10"/>
    </cacheField>
    <cacheField name="Unit_Price" numFmtId="165">
      <sharedItems containsSemiMixedTypes="0" containsString="0" containsNumber="1" minValue="10.82" maxValue="499.98"/>
    </cacheField>
    <cacheField name="Total_Sales" numFmtId="165">
      <sharedItems containsSemiMixedTypes="0" containsString="0" containsNumber="1" minValue="43.28" maxValue="4836.3999999999996"/>
    </cacheField>
    <cacheField name="Order_Date" numFmtId="14">
      <sharedItems containsSemiMixedTypes="0" containsNonDate="0" containsDate="1" containsString="0" minDate="2025-01-01T00:00:00" maxDate="2025-12-28T00:00:00" count="122">
        <d v="2025-08-28T00:00:00"/>
        <d v="2025-11-22T00:00:00"/>
        <d v="2025-02-11T00:00:00"/>
        <d v="2025-08-13T00:00:00"/>
        <d v="2025-02-10T00:00:00"/>
        <d v="2025-11-04T00:00:00"/>
        <d v="2025-05-29T00:00:00"/>
        <d v="2025-11-26T00:00:00"/>
        <d v="2025-08-19T00:00:00"/>
        <d v="2025-06-29T00:00:00"/>
        <d v="2025-11-23T00:00:00"/>
        <d v="2025-09-06T00:00:00"/>
        <d v="2025-04-17T00:00:00"/>
        <d v="2025-05-22T00:00:00"/>
        <d v="2025-04-05T00:00:00"/>
        <d v="2025-01-12T00:00:00"/>
        <d v="2025-10-31T00:00:00"/>
        <d v="2025-09-16T00:00:00"/>
        <d v="2025-07-26T00:00:00"/>
        <d v="2025-08-23T00:00:00"/>
        <d v="2025-12-03T00:00:00"/>
        <d v="2025-10-07T00:00:00"/>
        <d v="2025-07-01T00:00:00"/>
        <d v="2025-01-25T00:00:00"/>
        <d v="2025-09-15T00:00:00"/>
        <d v="2025-06-08T00:00:00"/>
        <d v="2025-05-13T00:00:00"/>
        <d v="2025-05-12T00:00:00"/>
        <d v="2025-06-25T00:00:00"/>
        <d v="2025-10-01T00:00:00"/>
        <d v="2025-09-23T00:00:00"/>
        <d v="2025-10-16T00:00:00"/>
        <d v="2025-10-21T00:00:00"/>
        <d v="2025-10-26T00:00:00"/>
        <d v="2025-07-23T00:00:00"/>
        <d v="2025-10-08T00:00:00"/>
        <d v="2025-06-20T00:00:00"/>
        <d v="2025-09-18T00:00:00"/>
        <d v="2025-09-07T00:00:00"/>
        <d v="2025-05-16T00:00:00"/>
        <d v="2025-01-03T00:00:00"/>
        <d v="2025-06-13T00:00:00"/>
        <d v="2025-11-24T00:00:00"/>
        <d v="2025-09-26T00:00:00"/>
        <d v="2025-11-07T00:00:00"/>
        <d v="2025-06-26T00:00:00"/>
        <d v="2025-01-01T00:00:00"/>
        <d v="2025-09-21T00:00:00"/>
        <d v="2025-03-28T00:00:00"/>
        <d v="2025-05-23T00:00:00"/>
        <d v="2025-09-10T00:00:00"/>
        <d v="2025-03-07T00:00:00"/>
        <d v="2025-03-05T00:00:00"/>
        <d v="2025-10-24T00:00:00"/>
        <d v="2025-02-20T00:00:00"/>
        <d v="2025-06-22T00:00:00"/>
        <d v="2025-01-31T00:00:00"/>
        <d v="2025-05-28T00:00:00"/>
        <d v="2025-02-02T00:00:00"/>
        <d v="2025-08-08T00:00:00"/>
        <d v="2025-02-13T00:00:00"/>
        <d v="2025-09-12T00:00:00"/>
        <d v="2025-04-03T00:00:00"/>
        <d v="2025-04-25T00:00:00"/>
        <d v="2025-04-30T00:00:00"/>
        <d v="2025-09-30T00:00:00"/>
        <d v="2025-12-20T00:00:00"/>
        <d v="2025-12-16T00:00:00"/>
        <d v="2025-08-16T00:00:00"/>
        <d v="2025-01-13T00:00:00"/>
        <d v="2025-03-01T00:00:00"/>
        <d v="2025-08-01T00:00:00"/>
        <d v="2025-08-27T00:00:00"/>
        <d v="2025-11-11T00:00:00"/>
        <d v="2025-05-02T00:00:00"/>
        <d v="2025-02-04T00:00:00"/>
        <d v="2025-09-20T00:00:00"/>
        <d v="2025-09-08T00:00:00"/>
        <d v="2025-08-06T00:00:00"/>
        <d v="2025-11-13T00:00:00"/>
        <d v="2025-04-23T00:00:00"/>
        <d v="2025-08-14T00:00:00"/>
        <d v="2025-03-23T00:00:00"/>
        <d v="2025-04-27T00:00:00"/>
        <d v="2025-10-11T00:00:00"/>
        <d v="2025-09-11T00:00:00"/>
        <d v="2025-03-16T00:00:00"/>
        <d v="2025-11-15T00:00:00"/>
        <d v="2025-12-09T00:00:00"/>
        <d v="2025-09-01T00:00:00"/>
        <d v="2025-04-16T00:00:00"/>
        <d v="2025-12-24T00:00:00"/>
        <d v="2025-04-14T00:00:00"/>
        <d v="2025-05-11T00:00:00"/>
        <d v="2025-07-21T00:00:00"/>
        <d v="2025-08-10T00:00:00"/>
        <d v="2025-05-21T00:00:00"/>
        <d v="2025-11-25T00:00:00"/>
        <d v="2025-07-31T00:00:00"/>
        <d v="2025-11-27T00:00:00"/>
        <d v="2025-05-17T00:00:00"/>
        <d v="2025-05-08T00:00:00"/>
        <d v="2025-06-12T00:00:00"/>
        <d v="2025-03-30T00:00:00"/>
        <d v="2025-12-04T00:00:00"/>
        <d v="2025-05-20T00:00:00"/>
        <d v="2025-05-24T00:00:00"/>
        <d v="2025-07-24T00:00:00"/>
        <d v="2025-08-21T00:00:00"/>
        <d v="2025-01-21T00:00:00"/>
        <d v="2025-10-22T00:00:00"/>
        <d v="2025-03-06T00:00:00"/>
        <d v="2025-04-06T00:00:00"/>
        <d v="2025-07-08T00:00:00"/>
        <d v="2025-05-10T00:00:00"/>
        <d v="2025-09-28T00:00:00"/>
        <d v="2025-08-04T00:00:00"/>
        <d v="2025-12-27T00:00:00"/>
        <d v="2025-03-19T00:00:00"/>
        <d v="2025-08-07T00:00:00"/>
        <d v="2025-05-18T00:00:00"/>
        <d v="2025-10-10T00:00:00"/>
      </sharedItems>
    </cacheField>
    <cacheField name="Months" numFmtId="14">
      <sharedItems count="12">
        <s v="August"/>
        <s v="November"/>
        <s v="February"/>
        <s v="May"/>
        <s v="June"/>
        <s v="September"/>
        <s v="April"/>
        <s v="January"/>
        <s v="October"/>
        <s v="July"/>
        <s v="December"/>
        <s v="March"/>
      </sharedItems>
    </cacheField>
    <cacheField name="Payment_Method" numFmtId="49">
      <sharedItems count="3">
        <s v="cash"/>
        <s v="POS"/>
        <s v="Transfer"/>
      </sharedItems>
    </cacheField>
    <cacheField name="Sales_Rep" numFmtId="49">
      <sharedItems/>
    </cacheField>
  </cacheFields>
  <extLst>
    <ext xmlns:x14="http://schemas.microsoft.com/office/spreadsheetml/2009/9/main" uri="{725AE2AE-9491-48be-B2B4-4EB974FC3084}">
      <x14:pivotCacheDefinition pivotCacheId="17617527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x v="0"/>
    <s v="Shirt"/>
    <n v="1"/>
    <n v="175.23"/>
    <n v="175.23"/>
    <x v="0"/>
    <x v="0"/>
    <x v="0"/>
  </r>
  <r>
    <x v="1"/>
    <x v="1"/>
    <x v="1"/>
    <x v="0"/>
    <x v="1"/>
    <s v="Milk"/>
    <n v="8"/>
    <n v="492.13"/>
    <n v="3937.04"/>
    <x v="1"/>
    <x v="0"/>
    <x v="1"/>
  </r>
  <r>
    <x v="2"/>
    <x v="2"/>
    <x v="0"/>
    <x v="1"/>
    <x v="0"/>
    <s v="Shirt"/>
    <n v="9"/>
    <n v="406.1"/>
    <n v="3654.9"/>
    <x v="2"/>
    <x v="0"/>
    <x v="2"/>
  </r>
  <r>
    <x v="3"/>
    <x v="3"/>
    <x v="0"/>
    <x v="2"/>
    <x v="2"/>
    <s v="Phone"/>
    <n v="3"/>
    <n v="52.9"/>
    <n v="158.69999999999999"/>
    <x v="3"/>
    <x v="1"/>
    <x v="1"/>
  </r>
  <r>
    <x v="4"/>
    <x v="1"/>
    <x v="0"/>
    <x v="0"/>
    <x v="2"/>
    <s v="Phone"/>
    <n v="1"/>
    <n v="132.53"/>
    <n v="132.53"/>
    <x v="4"/>
    <x v="0"/>
    <x v="1"/>
  </r>
  <r>
    <x v="5"/>
    <x v="4"/>
    <x v="1"/>
    <x v="3"/>
    <x v="1"/>
    <s v="Milk"/>
    <n v="7"/>
    <n v="266.94"/>
    <n v="1868.58"/>
    <x v="5"/>
    <x v="0"/>
    <x v="3"/>
  </r>
  <r>
    <x v="6"/>
    <x v="3"/>
    <x v="0"/>
    <x v="2"/>
    <x v="3"/>
    <s v="Fan"/>
    <n v="8"/>
    <n v="413.66"/>
    <n v="3309.28"/>
    <x v="6"/>
    <x v="0"/>
    <x v="3"/>
  </r>
  <r>
    <x v="7"/>
    <x v="5"/>
    <x v="1"/>
    <x v="1"/>
    <x v="1"/>
    <s v="Oil"/>
    <n v="7"/>
    <n v="458.7"/>
    <n v="3210.9"/>
    <x v="7"/>
    <x v="1"/>
    <x v="3"/>
  </r>
  <r>
    <x v="8"/>
    <x v="5"/>
    <x v="0"/>
    <x v="1"/>
    <x v="1"/>
    <s v="Oil"/>
    <n v="2"/>
    <n v="310.61"/>
    <n v="621.22"/>
    <x v="8"/>
    <x v="0"/>
    <x v="3"/>
  </r>
  <r>
    <x v="9"/>
    <x v="4"/>
    <x v="0"/>
    <x v="0"/>
    <x v="0"/>
    <s v="Shirt"/>
    <n v="3"/>
    <n v="93.56"/>
    <n v="280.68"/>
    <x v="9"/>
    <x v="1"/>
    <x v="0"/>
  </r>
  <r>
    <x v="10"/>
    <x v="6"/>
    <x v="1"/>
    <x v="2"/>
    <x v="1"/>
    <s v="Rice"/>
    <n v="1"/>
    <n v="343.73"/>
    <n v="343.73"/>
    <x v="10"/>
    <x v="2"/>
    <x v="2"/>
  </r>
  <r>
    <x v="11"/>
    <x v="3"/>
    <x v="0"/>
    <x v="0"/>
    <x v="2"/>
    <s v="Phone"/>
    <n v="9"/>
    <n v="177.23"/>
    <n v="1595.07"/>
    <x v="11"/>
    <x v="0"/>
    <x v="4"/>
  </r>
  <r>
    <x v="12"/>
    <x v="4"/>
    <x v="0"/>
    <x v="0"/>
    <x v="3"/>
    <s v="Fan"/>
    <n v="5"/>
    <n v="396.08"/>
    <n v="1980.4"/>
    <x v="12"/>
    <x v="0"/>
    <x v="1"/>
  </r>
  <r>
    <x v="13"/>
    <x v="4"/>
    <x v="1"/>
    <x v="4"/>
    <x v="2"/>
    <s v="Laptop"/>
    <n v="1"/>
    <n v="57.86"/>
    <n v="57.86"/>
    <x v="13"/>
    <x v="0"/>
    <x v="0"/>
  </r>
  <r>
    <x v="14"/>
    <x v="3"/>
    <x v="1"/>
    <x v="0"/>
    <x v="3"/>
    <s v="Blender"/>
    <n v="3"/>
    <n v="265.58"/>
    <n v="796.74"/>
    <x v="14"/>
    <x v="0"/>
    <x v="0"/>
  </r>
  <r>
    <x v="15"/>
    <x v="7"/>
    <x v="1"/>
    <x v="2"/>
    <x v="2"/>
    <s v="Laptop"/>
    <n v="5"/>
    <n v="13.09"/>
    <n v="104.72"/>
    <x v="15"/>
    <x v="2"/>
    <x v="4"/>
  </r>
  <r>
    <x v="16"/>
    <x v="1"/>
    <x v="1"/>
    <x v="1"/>
    <x v="1"/>
    <s v="Rice"/>
    <n v="9"/>
    <n v="319.56"/>
    <n v="2876.04"/>
    <x v="16"/>
    <x v="1"/>
    <x v="3"/>
  </r>
  <r>
    <x v="17"/>
    <x v="2"/>
    <x v="0"/>
    <x v="1"/>
    <x v="1"/>
    <s v="Milk"/>
    <n v="9"/>
    <n v="395.76"/>
    <n v="3561.84"/>
    <x v="17"/>
    <x v="0"/>
    <x v="0"/>
  </r>
  <r>
    <x v="18"/>
    <x v="5"/>
    <x v="1"/>
    <x v="5"/>
    <x v="2"/>
    <s v="Phone"/>
    <n v="5"/>
    <n v="184.29"/>
    <n v="921.45"/>
    <x v="18"/>
    <x v="1"/>
    <x v="4"/>
  </r>
  <r>
    <x v="19"/>
    <x v="3"/>
    <x v="1"/>
    <x v="0"/>
    <x v="1"/>
    <s v="Rice"/>
    <n v="7"/>
    <n v="176.65"/>
    <n v="1236.55"/>
    <x v="19"/>
    <x v="1"/>
    <x v="1"/>
  </r>
  <r>
    <x v="20"/>
    <x v="8"/>
    <x v="1"/>
    <x v="4"/>
    <x v="2"/>
    <s v="Headset"/>
    <n v="8"/>
    <n v="282.35000000000002"/>
    <n v="2258.8000000000002"/>
    <x v="20"/>
    <x v="0"/>
    <x v="3"/>
  </r>
  <r>
    <x v="21"/>
    <x v="9"/>
    <x v="0"/>
    <x v="0"/>
    <x v="3"/>
    <s v="Blender"/>
    <n v="10"/>
    <n v="383.51"/>
    <n v="3835.1"/>
    <x v="21"/>
    <x v="2"/>
    <x v="3"/>
  </r>
  <r>
    <x v="22"/>
    <x v="4"/>
    <x v="0"/>
    <x v="2"/>
    <x v="1"/>
    <s v="Oil"/>
    <n v="7"/>
    <n v="415"/>
    <n v="2905"/>
    <x v="22"/>
    <x v="1"/>
    <x v="4"/>
  </r>
  <r>
    <x v="23"/>
    <x v="5"/>
    <x v="1"/>
    <x v="5"/>
    <x v="1"/>
    <s v="Oil"/>
    <n v="10"/>
    <n v="132.85"/>
    <n v="1328.5"/>
    <x v="23"/>
    <x v="1"/>
    <x v="1"/>
  </r>
  <r>
    <x v="24"/>
    <x v="5"/>
    <x v="1"/>
    <x v="2"/>
    <x v="1"/>
    <s v="Oil"/>
    <n v="2"/>
    <n v="286.70999999999998"/>
    <n v="573.41999999999996"/>
    <x v="24"/>
    <x v="0"/>
    <x v="2"/>
  </r>
  <r>
    <x v="25"/>
    <x v="2"/>
    <x v="0"/>
    <x v="5"/>
    <x v="1"/>
    <s v="Oil"/>
    <n v="2"/>
    <n v="474.17"/>
    <n v="948.34"/>
    <x v="25"/>
    <x v="0"/>
    <x v="0"/>
  </r>
  <r>
    <x v="26"/>
    <x v="0"/>
    <x v="0"/>
    <x v="0"/>
    <x v="2"/>
    <s v="Phone"/>
    <n v="8"/>
    <n v="423.33"/>
    <n v="3386.64"/>
    <x v="26"/>
    <x v="0"/>
    <x v="0"/>
  </r>
  <r>
    <x v="27"/>
    <x v="10"/>
    <x v="1"/>
    <x v="4"/>
    <x v="2"/>
    <s v="Laptop"/>
    <n v="6"/>
    <n v="192.43"/>
    <n v="1154.58"/>
    <x v="27"/>
    <x v="1"/>
    <x v="4"/>
  </r>
  <r>
    <x v="28"/>
    <x v="4"/>
    <x v="0"/>
    <x v="0"/>
    <x v="2"/>
    <s v="Headset"/>
    <n v="10"/>
    <n v="65.099999999999994"/>
    <n v="651"/>
    <x v="28"/>
    <x v="2"/>
    <x v="4"/>
  </r>
  <r>
    <x v="29"/>
    <x v="1"/>
    <x v="1"/>
    <x v="4"/>
    <x v="3"/>
    <s v="Fan"/>
    <n v="2"/>
    <n v="58.48"/>
    <n v="116.96"/>
    <x v="29"/>
    <x v="1"/>
    <x v="3"/>
  </r>
  <r>
    <x v="30"/>
    <x v="3"/>
    <x v="0"/>
    <x v="4"/>
    <x v="2"/>
    <s v="Phone"/>
    <n v="6"/>
    <n v="26.96"/>
    <n v="161.76"/>
    <x v="30"/>
    <x v="2"/>
    <x v="0"/>
  </r>
  <r>
    <x v="31"/>
    <x v="7"/>
    <x v="1"/>
    <x v="4"/>
    <x v="1"/>
    <s v="Milk"/>
    <n v="2"/>
    <n v="453.74"/>
    <n v="907.48"/>
    <x v="31"/>
    <x v="2"/>
    <x v="0"/>
  </r>
  <r>
    <x v="32"/>
    <x v="2"/>
    <x v="0"/>
    <x v="0"/>
    <x v="3"/>
    <s v="Fan"/>
    <n v="10"/>
    <n v="412.93"/>
    <n v="4129.3"/>
    <x v="32"/>
    <x v="0"/>
    <x v="1"/>
  </r>
  <r>
    <x v="33"/>
    <x v="1"/>
    <x v="1"/>
    <x v="5"/>
    <x v="2"/>
    <s v="Phone"/>
    <n v="1"/>
    <n v="298.67"/>
    <n v="298.67"/>
    <x v="33"/>
    <x v="0"/>
    <x v="3"/>
  </r>
  <r>
    <x v="34"/>
    <x v="1"/>
    <x v="1"/>
    <x v="5"/>
    <x v="3"/>
    <s v="Microwave"/>
    <n v="1"/>
    <n v="60.43"/>
    <n v="60.43"/>
    <x v="34"/>
    <x v="1"/>
    <x v="4"/>
  </r>
  <r>
    <x v="35"/>
    <x v="7"/>
    <x v="1"/>
    <x v="2"/>
    <x v="3"/>
    <s v="Microwave"/>
    <n v="3"/>
    <n v="382.77"/>
    <n v="1148.31"/>
    <x v="17"/>
    <x v="1"/>
    <x v="1"/>
  </r>
  <r>
    <x v="36"/>
    <x v="1"/>
    <x v="1"/>
    <x v="0"/>
    <x v="2"/>
    <s v="Headset"/>
    <n v="1"/>
    <n v="128.22999999999999"/>
    <n v="128.22999999999999"/>
    <x v="10"/>
    <x v="1"/>
    <x v="4"/>
  </r>
  <r>
    <x v="37"/>
    <x v="5"/>
    <x v="0"/>
    <x v="0"/>
    <x v="3"/>
    <s v="Blender"/>
    <n v="10"/>
    <n v="302.76"/>
    <n v="3027.6"/>
    <x v="35"/>
    <x v="0"/>
    <x v="3"/>
  </r>
  <r>
    <x v="38"/>
    <x v="0"/>
    <x v="1"/>
    <x v="1"/>
    <x v="2"/>
    <s v="Headset"/>
    <n v="4"/>
    <n v="370.71"/>
    <n v="1482.84"/>
    <x v="36"/>
    <x v="0"/>
    <x v="3"/>
  </r>
  <r>
    <x v="39"/>
    <x v="10"/>
    <x v="1"/>
    <x v="0"/>
    <x v="3"/>
    <s v="Microwave"/>
    <n v="3"/>
    <n v="114.5"/>
    <n v="343.5"/>
    <x v="37"/>
    <x v="0"/>
    <x v="0"/>
  </r>
  <r>
    <x v="40"/>
    <x v="7"/>
    <x v="1"/>
    <x v="1"/>
    <x v="0"/>
    <s v="Bag"/>
    <n v="6"/>
    <n v="396.49"/>
    <n v="2378.94"/>
    <x v="38"/>
    <x v="2"/>
    <x v="4"/>
  </r>
  <r>
    <x v="41"/>
    <x v="4"/>
    <x v="0"/>
    <x v="5"/>
    <x v="2"/>
    <s v="Laptop"/>
    <n v="8"/>
    <n v="349.25"/>
    <n v="2794"/>
    <x v="39"/>
    <x v="0"/>
    <x v="4"/>
  </r>
  <r>
    <x v="42"/>
    <x v="1"/>
    <x v="0"/>
    <x v="4"/>
    <x v="3"/>
    <s v="Microwave"/>
    <n v="10"/>
    <n v="73.42"/>
    <n v="734.2"/>
    <x v="40"/>
    <x v="0"/>
    <x v="2"/>
  </r>
  <r>
    <x v="43"/>
    <x v="8"/>
    <x v="0"/>
    <x v="2"/>
    <x v="1"/>
    <s v="Rice"/>
    <n v="9"/>
    <n v="306.58"/>
    <n v="2759.22"/>
    <x v="41"/>
    <x v="0"/>
    <x v="1"/>
  </r>
  <r>
    <x v="44"/>
    <x v="0"/>
    <x v="1"/>
    <x v="0"/>
    <x v="3"/>
    <s v="Fan"/>
    <n v="2"/>
    <n v="493.99"/>
    <n v="987.98"/>
    <x v="42"/>
    <x v="2"/>
    <x v="4"/>
  </r>
  <r>
    <x v="45"/>
    <x v="0"/>
    <x v="1"/>
    <x v="0"/>
    <x v="3"/>
    <s v="Fan"/>
    <n v="2"/>
    <n v="68.150000000000006"/>
    <n v="136.30000000000001"/>
    <x v="43"/>
    <x v="2"/>
    <x v="0"/>
  </r>
  <r>
    <x v="46"/>
    <x v="8"/>
    <x v="1"/>
    <x v="0"/>
    <x v="1"/>
    <s v="Rice"/>
    <n v="5"/>
    <n v="330.84"/>
    <n v="1654.2"/>
    <x v="44"/>
    <x v="0"/>
    <x v="1"/>
  </r>
  <r>
    <x v="47"/>
    <x v="1"/>
    <x v="1"/>
    <x v="2"/>
    <x v="3"/>
    <s v="Blender"/>
    <n v="4"/>
    <n v="17.170000000000002"/>
    <n v="68.680000000000007"/>
    <x v="45"/>
    <x v="0"/>
    <x v="3"/>
  </r>
  <r>
    <x v="48"/>
    <x v="4"/>
    <x v="1"/>
    <x v="4"/>
    <x v="2"/>
    <s v="Headset"/>
    <n v="2"/>
    <n v="499.51"/>
    <n v="999.02"/>
    <x v="46"/>
    <x v="0"/>
    <x v="3"/>
  </r>
  <r>
    <x v="49"/>
    <x v="10"/>
    <x v="0"/>
    <x v="1"/>
    <x v="0"/>
    <s v="Shirt"/>
    <n v="9"/>
    <n v="256.67"/>
    <n v="2310.0300000000002"/>
    <x v="47"/>
    <x v="2"/>
    <x v="2"/>
  </r>
  <r>
    <x v="50"/>
    <x v="9"/>
    <x v="1"/>
    <x v="0"/>
    <x v="3"/>
    <s v="Microwave"/>
    <n v="6"/>
    <n v="171.68"/>
    <n v="1030.08"/>
    <x v="48"/>
    <x v="2"/>
    <x v="0"/>
  </r>
  <r>
    <x v="51"/>
    <x v="0"/>
    <x v="1"/>
    <x v="4"/>
    <x v="0"/>
    <s v="Bag"/>
    <n v="4"/>
    <n v="278.95999999999998"/>
    <n v="1115.8399999999999"/>
    <x v="49"/>
    <x v="0"/>
    <x v="4"/>
  </r>
  <r>
    <x v="52"/>
    <x v="5"/>
    <x v="1"/>
    <x v="2"/>
    <x v="1"/>
    <s v="Milk"/>
    <n v="4"/>
    <n v="312.23"/>
    <n v="1248.92"/>
    <x v="50"/>
    <x v="0"/>
    <x v="2"/>
  </r>
  <r>
    <x v="53"/>
    <x v="8"/>
    <x v="1"/>
    <x v="0"/>
    <x v="2"/>
    <s v="Laptop"/>
    <n v="6"/>
    <n v="491.06"/>
    <n v="2946.36"/>
    <x v="51"/>
    <x v="0"/>
    <x v="2"/>
  </r>
  <r>
    <x v="54"/>
    <x v="10"/>
    <x v="1"/>
    <x v="0"/>
    <x v="2"/>
    <s v="Laptop"/>
    <n v="5"/>
    <n v="134.44"/>
    <n v="672.2"/>
    <x v="52"/>
    <x v="2"/>
    <x v="4"/>
  </r>
  <r>
    <x v="55"/>
    <x v="1"/>
    <x v="1"/>
    <x v="1"/>
    <x v="2"/>
    <s v="Headset"/>
    <n v="9"/>
    <n v="136.19"/>
    <n v="1225.71"/>
    <x v="53"/>
    <x v="0"/>
    <x v="0"/>
  </r>
  <r>
    <x v="56"/>
    <x v="7"/>
    <x v="0"/>
    <x v="0"/>
    <x v="0"/>
    <s v="Shoes"/>
    <n v="1"/>
    <n v="445.52"/>
    <n v="445.52"/>
    <x v="54"/>
    <x v="2"/>
    <x v="4"/>
  </r>
  <r>
    <x v="57"/>
    <x v="7"/>
    <x v="0"/>
    <x v="0"/>
    <x v="0"/>
    <s v="Shirt"/>
    <n v="1"/>
    <n v="86.47"/>
    <n v="86.47"/>
    <x v="22"/>
    <x v="0"/>
    <x v="0"/>
  </r>
  <r>
    <x v="58"/>
    <x v="8"/>
    <x v="0"/>
    <x v="4"/>
    <x v="2"/>
    <s v="Laptop"/>
    <n v="5"/>
    <n v="45.26"/>
    <n v="226.3"/>
    <x v="55"/>
    <x v="1"/>
    <x v="4"/>
  </r>
  <r>
    <x v="59"/>
    <x v="3"/>
    <x v="0"/>
    <x v="4"/>
    <x v="2"/>
    <s v="Headset"/>
    <n v="9"/>
    <n v="326.58999999999997"/>
    <n v="2939.31"/>
    <x v="56"/>
    <x v="0"/>
    <x v="4"/>
  </r>
  <r>
    <x v="60"/>
    <x v="2"/>
    <x v="0"/>
    <x v="2"/>
    <x v="0"/>
    <s v="Shoes"/>
    <n v="4"/>
    <n v="175.53"/>
    <n v="702.12"/>
    <x v="57"/>
    <x v="2"/>
    <x v="3"/>
  </r>
  <r>
    <x v="61"/>
    <x v="9"/>
    <x v="0"/>
    <x v="1"/>
    <x v="2"/>
    <s v="Headset"/>
    <n v="1"/>
    <n v="354.01"/>
    <n v="354.01"/>
    <x v="58"/>
    <x v="1"/>
    <x v="1"/>
  </r>
  <r>
    <x v="62"/>
    <x v="8"/>
    <x v="0"/>
    <x v="4"/>
    <x v="0"/>
    <s v="Shirt"/>
    <n v="7"/>
    <n v="240.93"/>
    <n v="1686.51"/>
    <x v="59"/>
    <x v="0"/>
    <x v="2"/>
  </r>
  <r>
    <x v="63"/>
    <x v="10"/>
    <x v="1"/>
    <x v="5"/>
    <x v="2"/>
    <s v="Laptop"/>
    <n v="7"/>
    <n v="383.41"/>
    <n v="2683.87"/>
    <x v="60"/>
    <x v="0"/>
    <x v="4"/>
  </r>
  <r>
    <x v="64"/>
    <x v="4"/>
    <x v="0"/>
    <x v="1"/>
    <x v="2"/>
    <s v="Laptop"/>
    <n v="8"/>
    <n v="473.5"/>
    <n v="3788"/>
    <x v="53"/>
    <x v="1"/>
    <x v="4"/>
  </r>
  <r>
    <x v="65"/>
    <x v="1"/>
    <x v="1"/>
    <x v="1"/>
    <x v="3"/>
    <s v="Fan"/>
    <n v="5"/>
    <n v="477.31"/>
    <n v="2386.5500000000002"/>
    <x v="61"/>
    <x v="1"/>
    <x v="4"/>
  </r>
  <r>
    <x v="66"/>
    <x v="9"/>
    <x v="1"/>
    <x v="4"/>
    <x v="2"/>
    <s v="Headset"/>
    <n v="7"/>
    <n v="422.13"/>
    <n v="2954.91"/>
    <x v="62"/>
    <x v="0"/>
    <x v="2"/>
  </r>
  <r>
    <x v="67"/>
    <x v="9"/>
    <x v="0"/>
    <x v="0"/>
    <x v="2"/>
    <s v="Phone"/>
    <n v="8"/>
    <n v="72.180000000000007"/>
    <n v="577.44000000000005"/>
    <x v="63"/>
    <x v="2"/>
    <x v="4"/>
  </r>
  <r>
    <x v="68"/>
    <x v="10"/>
    <x v="1"/>
    <x v="5"/>
    <x v="2"/>
    <s v="Laptop"/>
    <n v="4"/>
    <n v="214.91"/>
    <n v="859.64"/>
    <x v="64"/>
    <x v="2"/>
    <x v="4"/>
  </r>
  <r>
    <x v="69"/>
    <x v="2"/>
    <x v="1"/>
    <x v="5"/>
    <x v="0"/>
    <s v="Shoes"/>
    <n v="5"/>
    <n v="245.58"/>
    <n v="1227.9000000000001"/>
    <x v="65"/>
    <x v="2"/>
    <x v="1"/>
  </r>
  <r>
    <x v="70"/>
    <x v="5"/>
    <x v="1"/>
    <x v="2"/>
    <x v="0"/>
    <s v="Shirt"/>
    <n v="1"/>
    <n v="377.15"/>
    <n v="377.15"/>
    <x v="66"/>
    <x v="0"/>
    <x v="2"/>
  </r>
  <r>
    <x v="71"/>
    <x v="3"/>
    <x v="0"/>
    <x v="1"/>
    <x v="2"/>
    <s v="Headset"/>
    <n v="2"/>
    <n v="301.54000000000002"/>
    <n v="603.08000000000004"/>
    <x v="67"/>
    <x v="1"/>
    <x v="3"/>
  </r>
  <r>
    <x v="72"/>
    <x v="8"/>
    <x v="0"/>
    <x v="1"/>
    <x v="3"/>
    <s v="Fan"/>
    <n v="5"/>
    <n v="445.09"/>
    <n v="2225.4499999999998"/>
    <x v="68"/>
    <x v="2"/>
    <x v="4"/>
  </r>
  <r>
    <x v="73"/>
    <x v="2"/>
    <x v="1"/>
    <x v="0"/>
    <x v="2"/>
    <s v="Laptop"/>
    <n v="4"/>
    <n v="343.83"/>
    <n v="1375.32"/>
    <x v="69"/>
    <x v="0"/>
    <x v="0"/>
  </r>
  <r>
    <x v="74"/>
    <x v="2"/>
    <x v="0"/>
    <x v="1"/>
    <x v="1"/>
    <s v="Rice"/>
    <n v="1"/>
    <n v="400.93"/>
    <n v="400.93"/>
    <x v="70"/>
    <x v="1"/>
    <x v="3"/>
  </r>
  <r>
    <x v="75"/>
    <x v="10"/>
    <x v="0"/>
    <x v="2"/>
    <x v="0"/>
    <s v="Shirt"/>
    <n v="6"/>
    <n v="74.52"/>
    <n v="447.12"/>
    <x v="71"/>
    <x v="0"/>
    <x v="0"/>
  </r>
  <r>
    <x v="76"/>
    <x v="5"/>
    <x v="1"/>
    <x v="1"/>
    <x v="1"/>
    <s v="Rice"/>
    <n v="10"/>
    <n v="312.83"/>
    <n v="3128.3"/>
    <x v="12"/>
    <x v="0"/>
    <x v="3"/>
  </r>
  <r>
    <x v="77"/>
    <x v="3"/>
    <x v="1"/>
    <x v="0"/>
    <x v="1"/>
    <s v="Rice"/>
    <n v="5"/>
    <n v="327.24"/>
    <n v="1636.2"/>
    <x v="72"/>
    <x v="0"/>
    <x v="2"/>
  </r>
  <r>
    <x v="78"/>
    <x v="0"/>
    <x v="0"/>
    <x v="5"/>
    <x v="1"/>
    <s v="Milk"/>
    <n v="8"/>
    <n v="68.790000000000006"/>
    <n v="550.32000000000005"/>
    <x v="73"/>
    <x v="0"/>
    <x v="0"/>
  </r>
  <r>
    <x v="79"/>
    <x v="0"/>
    <x v="0"/>
    <x v="5"/>
    <x v="3"/>
    <s v="Microwave"/>
    <n v="4"/>
    <n v="10.82"/>
    <n v="43.28"/>
    <x v="74"/>
    <x v="0"/>
    <x v="4"/>
  </r>
  <r>
    <x v="80"/>
    <x v="0"/>
    <x v="1"/>
    <x v="1"/>
    <x v="3"/>
    <s v="Fan"/>
    <n v="1"/>
    <n v="374.82"/>
    <n v="374.82"/>
    <x v="29"/>
    <x v="0"/>
    <x v="3"/>
  </r>
  <r>
    <x v="81"/>
    <x v="0"/>
    <x v="0"/>
    <x v="2"/>
    <x v="2"/>
    <s v="Laptop"/>
    <n v="1"/>
    <n v="488.48"/>
    <n v="488.48"/>
    <x v="75"/>
    <x v="1"/>
    <x v="3"/>
  </r>
  <r>
    <x v="82"/>
    <x v="9"/>
    <x v="0"/>
    <x v="0"/>
    <x v="0"/>
    <s v="Bag"/>
    <n v="7"/>
    <n v="78.91"/>
    <n v="552.37"/>
    <x v="76"/>
    <x v="0"/>
    <x v="4"/>
  </r>
  <r>
    <x v="83"/>
    <x v="2"/>
    <x v="0"/>
    <x v="0"/>
    <x v="3"/>
    <s v="Blender"/>
    <n v="9"/>
    <n v="15.82"/>
    <n v="142.38"/>
    <x v="77"/>
    <x v="0"/>
    <x v="4"/>
  </r>
  <r>
    <x v="84"/>
    <x v="2"/>
    <x v="0"/>
    <x v="1"/>
    <x v="0"/>
    <s v="Bag"/>
    <n v="1"/>
    <n v="123.37"/>
    <n v="123.37"/>
    <x v="78"/>
    <x v="0"/>
    <x v="1"/>
  </r>
  <r>
    <x v="85"/>
    <x v="0"/>
    <x v="1"/>
    <x v="4"/>
    <x v="3"/>
    <s v="Blender"/>
    <n v="2"/>
    <n v="175.69"/>
    <n v="351.38"/>
    <x v="79"/>
    <x v="2"/>
    <x v="2"/>
  </r>
  <r>
    <x v="86"/>
    <x v="8"/>
    <x v="1"/>
    <x v="1"/>
    <x v="2"/>
    <s v="Laptop"/>
    <n v="8"/>
    <n v="37.950000000000003"/>
    <n v="303.60000000000002"/>
    <x v="80"/>
    <x v="1"/>
    <x v="3"/>
  </r>
  <r>
    <x v="87"/>
    <x v="3"/>
    <x v="0"/>
    <x v="1"/>
    <x v="1"/>
    <s v="Rice"/>
    <n v="1"/>
    <n v="447.14"/>
    <n v="447.14"/>
    <x v="81"/>
    <x v="2"/>
    <x v="1"/>
  </r>
  <r>
    <x v="88"/>
    <x v="2"/>
    <x v="1"/>
    <x v="0"/>
    <x v="2"/>
    <s v="Headset"/>
    <n v="2"/>
    <n v="58.49"/>
    <n v="116.98"/>
    <x v="82"/>
    <x v="2"/>
    <x v="3"/>
  </r>
  <r>
    <x v="89"/>
    <x v="5"/>
    <x v="1"/>
    <x v="4"/>
    <x v="2"/>
    <s v="Phone"/>
    <n v="10"/>
    <n v="462.19"/>
    <n v="4621.8999999999996"/>
    <x v="83"/>
    <x v="0"/>
    <x v="2"/>
  </r>
  <r>
    <x v="90"/>
    <x v="8"/>
    <x v="1"/>
    <x v="0"/>
    <x v="3"/>
    <s v="Blender"/>
    <n v="5"/>
    <n v="215.42"/>
    <n v="1077.0999999999999"/>
    <x v="84"/>
    <x v="0"/>
    <x v="2"/>
  </r>
  <r>
    <x v="91"/>
    <x v="1"/>
    <x v="1"/>
    <x v="5"/>
    <x v="0"/>
    <s v="Bag"/>
    <n v="3"/>
    <n v="368.01"/>
    <n v="1104.03"/>
    <x v="85"/>
    <x v="2"/>
    <x v="2"/>
  </r>
  <r>
    <x v="92"/>
    <x v="8"/>
    <x v="0"/>
    <x v="5"/>
    <x v="2"/>
    <s v="Laptop"/>
    <n v="8"/>
    <n v="321.89999999999998"/>
    <n v="2575.1999999999998"/>
    <x v="86"/>
    <x v="0"/>
    <x v="1"/>
  </r>
  <r>
    <x v="93"/>
    <x v="4"/>
    <x v="1"/>
    <x v="4"/>
    <x v="3"/>
    <s v="Blender"/>
    <n v="2"/>
    <n v="334.61"/>
    <n v="669.22"/>
    <x v="87"/>
    <x v="1"/>
    <x v="0"/>
  </r>
  <r>
    <x v="94"/>
    <x v="7"/>
    <x v="0"/>
    <x v="4"/>
    <x v="3"/>
    <s v="Microwave"/>
    <n v="5"/>
    <n v="436.6"/>
    <n v="2183"/>
    <x v="88"/>
    <x v="2"/>
    <x v="2"/>
  </r>
  <r>
    <x v="95"/>
    <x v="5"/>
    <x v="1"/>
    <x v="5"/>
    <x v="1"/>
    <s v="Milk"/>
    <n v="7"/>
    <n v="253.75"/>
    <n v="1776.25"/>
    <x v="89"/>
    <x v="0"/>
    <x v="2"/>
  </r>
  <r>
    <x v="96"/>
    <x v="10"/>
    <x v="1"/>
    <x v="1"/>
    <x v="0"/>
    <s v="Bag"/>
    <n v="4"/>
    <n v="44.59"/>
    <n v="178.36"/>
    <x v="90"/>
    <x v="1"/>
    <x v="3"/>
  </r>
  <r>
    <x v="97"/>
    <x v="5"/>
    <x v="0"/>
    <x v="0"/>
    <x v="1"/>
    <s v="Milk"/>
    <n v="1"/>
    <n v="325.31"/>
    <n v="325.31"/>
    <x v="91"/>
    <x v="0"/>
    <x v="0"/>
  </r>
  <r>
    <x v="98"/>
    <x v="3"/>
    <x v="0"/>
    <x v="4"/>
    <x v="3"/>
    <s v="Fan"/>
    <n v="7"/>
    <n v="357.18"/>
    <n v="2500.2600000000002"/>
    <x v="76"/>
    <x v="2"/>
    <x v="0"/>
  </r>
  <r>
    <x v="99"/>
    <x v="4"/>
    <x v="1"/>
    <x v="4"/>
    <x v="2"/>
    <s v="Laptop"/>
    <n v="7"/>
    <n v="192.78"/>
    <n v="1349.46"/>
    <x v="92"/>
    <x v="0"/>
    <x v="0"/>
  </r>
  <r>
    <x v="100"/>
    <x v="4"/>
    <x v="0"/>
    <x v="5"/>
    <x v="3"/>
    <s v="Fan"/>
    <n v="2"/>
    <n v="316.39"/>
    <n v="632.78"/>
    <x v="93"/>
    <x v="0"/>
    <x v="3"/>
  </r>
  <r>
    <x v="101"/>
    <x v="10"/>
    <x v="1"/>
    <x v="1"/>
    <x v="2"/>
    <s v="Phone"/>
    <n v="2"/>
    <n v="93.5"/>
    <n v="187"/>
    <x v="94"/>
    <x v="2"/>
    <x v="4"/>
  </r>
  <r>
    <x v="102"/>
    <x v="2"/>
    <x v="1"/>
    <x v="4"/>
    <x v="1"/>
    <s v="Milk"/>
    <n v="5"/>
    <n v="245.53"/>
    <n v="1227.6500000000001"/>
    <x v="95"/>
    <x v="1"/>
    <x v="2"/>
  </r>
  <r>
    <x v="103"/>
    <x v="9"/>
    <x v="0"/>
    <x v="4"/>
    <x v="2"/>
    <s v="Laptop"/>
    <n v="7"/>
    <n v="397.52"/>
    <n v="2782.64"/>
    <x v="11"/>
    <x v="2"/>
    <x v="1"/>
  </r>
  <r>
    <x v="104"/>
    <x v="2"/>
    <x v="0"/>
    <x v="0"/>
    <x v="1"/>
    <s v="Milk"/>
    <n v="7"/>
    <n v="63.98"/>
    <n v="447.86"/>
    <x v="96"/>
    <x v="0"/>
    <x v="1"/>
  </r>
  <r>
    <x v="105"/>
    <x v="1"/>
    <x v="0"/>
    <x v="2"/>
    <x v="2"/>
    <s v="Phone"/>
    <n v="5"/>
    <n v="119.14"/>
    <n v="595.70000000000005"/>
    <x v="71"/>
    <x v="0"/>
    <x v="1"/>
  </r>
  <r>
    <x v="106"/>
    <x v="2"/>
    <x v="0"/>
    <x v="0"/>
    <x v="1"/>
    <s v="Milk"/>
    <n v="1"/>
    <n v="272.64999999999998"/>
    <n v="272.64999999999998"/>
    <x v="97"/>
    <x v="2"/>
    <x v="2"/>
  </r>
  <r>
    <x v="107"/>
    <x v="10"/>
    <x v="1"/>
    <x v="0"/>
    <x v="3"/>
    <s v="Fan"/>
    <n v="7"/>
    <n v="402.16"/>
    <n v="2815.12"/>
    <x v="98"/>
    <x v="1"/>
    <x v="0"/>
  </r>
  <r>
    <x v="108"/>
    <x v="7"/>
    <x v="0"/>
    <x v="5"/>
    <x v="2"/>
    <s v="Laptop"/>
    <n v="7"/>
    <n v="223.01"/>
    <n v="1561.07"/>
    <x v="99"/>
    <x v="0"/>
    <x v="2"/>
  </r>
  <r>
    <x v="109"/>
    <x v="9"/>
    <x v="0"/>
    <x v="2"/>
    <x v="2"/>
    <s v="Phone"/>
    <n v="10"/>
    <n v="445.18"/>
    <n v="4451.8"/>
    <x v="100"/>
    <x v="0"/>
    <x v="4"/>
  </r>
  <r>
    <x v="110"/>
    <x v="10"/>
    <x v="0"/>
    <x v="4"/>
    <x v="0"/>
    <s v="Shirt"/>
    <n v="4"/>
    <n v="84.83"/>
    <n v="339.32"/>
    <x v="101"/>
    <x v="0"/>
    <x v="3"/>
  </r>
  <r>
    <x v="111"/>
    <x v="10"/>
    <x v="0"/>
    <x v="4"/>
    <x v="0"/>
    <s v="Bag"/>
    <n v="6"/>
    <n v="468.34"/>
    <n v="2810.04"/>
    <x v="62"/>
    <x v="2"/>
    <x v="1"/>
  </r>
  <r>
    <x v="112"/>
    <x v="8"/>
    <x v="1"/>
    <x v="2"/>
    <x v="3"/>
    <s v="Blender"/>
    <n v="2"/>
    <n v="389.91"/>
    <n v="779.82"/>
    <x v="102"/>
    <x v="0"/>
    <x v="2"/>
  </r>
  <r>
    <x v="113"/>
    <x v="8"/>
    <x v="1"/>
    <x v="5"/>
    <x v="0"/>
    <s v="Bag"/>
    <n v="1"/>
    <n v="228.07"/>
    <n v="228.07"/>
    <x v="85"/>
    <x v="1"/>
    <x v="0"/>
  </r>
  <r>
    <x v="114"/>
    <x v="2"/>
    <x v="1"/>
    <x v="2"/>
    <x v="0"/>
    <s v="Bag"/>
    <n v="3"/>
    <n v="370.45"/>
    <n v="1111.3499999999999"/>
    <x v="103"/>
    <x v="0"/>
    <x v="4"/>
  </r>
  <r>
    <x v="115"/>
    <x v="9"/>
    <x v="1"/>
    <x v="0"/>
    <x v="3"/>
    <s v="Fan"/>
    <n v="2"/>
    <n v="380.94"/>
    <n v="761.88"/>
    <x v="104"/>
    <x v="0"/>
    <x v="1"/>
  </r>
  <r>
    <x v="116"/>
    <x v="0"/>
    <x v="1"/>
    <x v="2"/>
    <x v="1"/>
    <s v="Rice"/>
    <n v="1"/>
    <n v="367.9"/>
    <n v="367.9"/>
    <x v="36"/>
    <x v="1"/>
    <x v="4"/>
  </r>
  <r>
    <x v="117"/>
    <x v="1"/>
    <x v="1"/>
    <x v="2"/>
    <x v="0"/>
    <s v="Shoes"/>
    <n v="2"/>
    <n v="339.16"/>
    <n v="678.32"/>
    <x v="105"/>
    <x v="2"/>
    <x v="0"/>
  </r>
  <r>
    <x v="118"/>
    <x v="7"/>
    <x v="1"/>
    <x v="2"/>
    <x v="2"/>
    <s v="Headset"/>
    <n v="7"/>
    <n v="437.52"/>
    <n v="3062.64"/>
    <x v="106"/>
    <x v="0"/>
    <x v="0"/>
  </r>
  <r>
    <x v="119"/>
    <x v="4"/>
    <x v="0"/>
    <x v="2"/>
    <x v="0"/>
    <s v="Shirt"/>
    <n v="2"/>
    <n v="482.55"/>
    <n v="965.1"/>
    <x v="107"/>
    <x v="1"/>
    <x v="4"/>
  </r>
  <r>
    <x v="120"/>
    <x v="7"/>
    <x v="1"/>
    <x v="4"/>
    <x v="2"/>
    <s v="Laptop"/>
    <n v="9"/>
    <n v="36.08"/>
    <n v="324.72000000000003"/>
    <x v="108"/>
    <x v="2"/>
    <x v="0"/>
  </r>
  <r>
    <x v="121"/>
    <x v="9"/>
    <x v="0"/>
    <x v="4"/>
    <x v="0"/>
    <s v="Shirt"/>
    <n v="2"/>
    <n v="106.88"/>
    <n v="213.76"/>
    <x v="109"/>
    <x v="2"/>
    <x v="4"/>
  </r>
  <r>
    <x v="122"/>
    <x v="8"/>
    <x v="0"/>
    <x v="0"/>
    <x v="2"/>
    <s v="Headset"/>
    <n v="10"/>
    <n v="483.64"/>
    <n v="4836.3999999999996"/>
    <x v="36"/>
    <x v="0"/>
    <x v="2"/>
  </r>
  <r>
    <x v="123"/>
    <x v="9"/>
    <x v="1"/>
    <x v="4"/>
    <x v="3"/>
    <s v="Fan"/>
    <n v="2"/>
    <n v="406.8"/>
    <n v="813.6"/>
    <x v="80"/>
    <x v="0"/>
    <x v="4"/>
  </r>
  <r>
    <x v="124"/>
    <x v="9"/>
    <x v="0"/>
    <x v="0"/>
    <x v="3"/>
    <s v="Fan"/>
    <n v="8"/>
    <n v="280.62"/>
    <n v="2244.96"/>
    <x v="37"/>
    <x v="1"/>
    <x v="0"/>
  </r>
  <r>
    <x v="125"/>
    <x v="8"/>
    <x v="1"/>
    <x v="4"/>
    <x v="2"/>
    <s v="Phone"/>
    <n v="4"/>
    <n v="499.98"/>
    <n v="1999.92"/>
    <x v="110"/>
    <x v="0"/>
    <x v="1"/>
  </r>
  <r>
    <x v="126"/>
    <x v="3"/>
    <x v="0"/>
    <x v="4"/>
    <x v="3"/>
    <s v="Microwave"/>
    <n v="6"/>
    <n v="72.72"/>
    <n v="436.32"/>
    <x v="95"/>
    <x v="1"/>
    <x v="3"/>
  </r>
  <r>
    <x v="127"/>
    <x v="0"/>
    <x v="1"/>
    <x v="4"/>
    <x v="1"/>
    <s v="Rice"/>
    <n v="8"/>
    <n v="35.67"/>
    <n v="285.36"/>
    <x v="12"/>
    <x v="0"/>
    <x v="4"/>
  </r>
  <r>
    <x v="128"/>
    <x v="4"/>
    <x v="0"/>
    <x v="4"/>
    <x v="2"/>
    <s v="Headset"/>
    <n v="2"/>
    <n v="249.05"/>
    <n v="498.1"/>
    <x v="47"/>
    <x v="1"/>
    <x v="3"/>
  </r>
  <r>
    <x v="129"/>
    <x v="0"/>
    <x v="0"/>
    <x v="1"/>
    <x v="3"/>
    <s v="Fan"/>
    <n v="9"/>
    <n v="12.52"/>
    <n v="112.68"/>
    <x v="111"/>
    <x v="0"/>
    <x v="3"/>
  </r>
  <r>
    <x v="130"/>
    <x v="4"/>
    <x v="0"/>
    <x v="0"/>
    <x v="3"/>
    <s v="Microwave"/>
    <n v="5"/>
    <n v="55.21"/>
    <n v="276.05"/>
    <x v="112"/>
    <x v="0"/>
    <x v="2"/>
  </r>
  <r>
    <x v="131"/>
    <x v="2"/>
    <x v="0"/>
    <x v="5"/>
    <x v="3"/>
    <s v="Fan"/>
    <n v="4"/>
    <n v="78.290000000000006"/>
    <n v="313.16000000000003"/>
    <x v="95"/>
    <x v="0"/>
    <x v="2"/>
  </r>
  <r>
    <x v="132"/>
    <x v="4"/>
    <x v="0"/>
    <x v="4"/>
    <x v="2"/>
    <s v="Headset"/>
    <n v="6"/>
    <n v="138.63999999999999"/>
    <n v="831.84"/>
    <x v="113"/>
    <x v="1"/>
    <x v="3"/>
  </r>
  <r>
    <x v="133"/>
    <x v="1"/>
    <x v="1"/>
    <x v="0"/>
    <x v="3"/>
    <s v="Fan"/>
    <n v="7"/>
    <n v="89.64"/>
    <n v="627.48"/>
    <x v="114"/>
    <x v="0"/>
    <x v="3"/>
  </r>
  <r>
    <x v="134"/>
    <x v="1"/>
    <x v="1"/>
    <x v="0"/>
    <x v="1"/>
    <s v="Rice"/>
    <n v="6"/>
    <n v="375.54"/>
    <n v="2253.2399999999998"/>
    <x v="115"/>
    <x v="2"/>
    <x v="1"/>
  </r>
  <r>
    <x v="135"/>
    <x v="7"/>
    <x v="0"/>
    <x v="0"/>
    <x v="2"/>
    <s v="Laptop"/>
    <n v="7"/>
    <n v="211.29"/>
    <n v="1479.03"/>
    <x v="39"/>
    <x v="0"/>
    <x v="0"/>
  </r>
  <r>
    <x v="136"/>
    <x v="2"/>
    <x v="1"/>
    <x v="4"/>
    <x v="3"/>
    <s v="Microwave"/>
    <n v="8"/>
    <n v="427.17"/>
    <n v="3417.36"/>
    <x v="116"/>
    <x v="1"/>
    <x v="3"/>
  </r>
  <r>
    <x v="137"/>
    <x v="8"/>
    <x v="1"/>
    <x v="2"/>
    <x v="0"/>
    <s v="Shirt"/>
    <n v="8"/>
    <n v="477.69"/>
    <n v="3821.52"/>
    <x v="106"/>
    <x v="0"/>
    <x v="4"/>
  </r>
  <r>
    <x v="138"/>
    <x v="9"/>
    <x v="0"/>
    <x v="0"/>
    <x v="2"/>
    <s v="Headset"/>
    <n v="10"/>
    <n v="295.62"/>
    <n v="2956.2"/>
    <x v="117"/>
    <x v="0"/>
    <x v="0"/>
  </r>
  <r>
    <x v="139"/>
    <x v="10"/>
    <x v="0"/>
    <x v="0"/>
    <x v="2"/>
    <s v="Laptop"/>
    <n v="6"/>
    <n v="392.89"/>
    <n v="2357.34"/>
    <x v="118"/>
    <x v="1"/>
    <x v="4"/>
  </r>
  <r>
    <x v="140"/>
    <x v="10"/>
    <x v="0"/>
    <x v="1"/>
    <x v="3"/>
    <s v="Microwave"/>
    <n v="9"/>
    <n v="429.2"/>
    <n v="3862.8"/>
    <x v="116"/>
    <x v="0"/>
    <x v="3"/>
  </r>
  <r>
    <x v="141"/>
    <x v="10"/>
    <x v="1"/>
    <x v="2"/>
    <x v="0"/>
    <s v="Bag"/>
    <n v="6"/>
    <n v="125.01"/>
    <n v="750.06"/>
    <x v="96"/>
    <x v="2"/>
    <x v="1"/>
  </r>
  <r>
    <x v="142"/>
    <x v="4"/>
    <x v="1"/>
    <x v="4"/>
    <x v="1"/>
    <s v="Oil"/>
    <n v="7"/>
    <n v="256.99"/>
    <n v="1798.93"/>
    <x v="78"/>
    <x v="0"/>
    <x v="3"/>
  </r>
  <r>
    <x v="143"/>
    <x v="1"/>
    <x v="0"/>
    <x v="4"/>
    <x v="3"/>
    <s v="Blender"/>
    <n v="3"/>
    <n v="378.03"/>
    <n v="1134.0899999999999"/>
    <x v="119"/>
    <x v="0"/>
    <x v="1"/>
  </r>
  <r>
    <x v="144"/>
    <x v="7"/>
    <x v="1"/>
    <x v="5"/>
    <x v="3"/>
    <s v="Fan"/>
    <n v="5"/>
    <n v="245.06"/>
    <n v="1225.3"/>
    <x v="101"/>
    <x v="0"/>
    <x v="3"/>
  </r>
  <r>
    <x v="145"/>
    <x v="8"/>
    <x v="0"/>
    <x v="5"/>
    <x v="2"/>
    <s v="Phone"/>
    <n v="1"/>
    <n v="383.51"/>
    <n v="383.51"/>
    <x v="120"/>
    <x v="1"/>
    <x v="2"/>
  </r>
  <r>
    <x v="146"/>
    <x v="2"/>
    <x v="1"/>
    <x v="4"/>
    <x v="3"/>
    <s v="Microwave"/>
    <n v="6"/>
    <n v="158.94"/>
    <n v="953.64"/>
    <x v="118"/>
    <x v="0"/>
    <x v="1"/>
  </r>
  <r>
    <x v="147"/>
    <x v="10"/>
    <x v="1"/>
    <x v="0"/>
    <x v="0"/>
    <s v="Shirt"/>
    <n v="8"/>
    <n v="428.8"/>
    <n v="3430.4"/>
    <x v="100"/>
    <x v="1"/>
    <x v="2"/>
  </r>
  <r>
    <x v="148"/>
    <x v="9"/>
    <x v="0"/>
    <x v="2"/>
    <x v="0"/>
    <s v="Shirt"/>
    <n v="9"/>
    <n v="378.21"/>
    <n v="3403.89"/>
    <x v="121"/>
    <x v="2"/>
    <x v="4"/>
  </r>
  <r>
    <x v="149"/>
    <x v="5"/>
    <x v="1"/>
    <x v="0"/>
    <x v="3"/>
    <s v="Blender"/>
    <n v="3"/>
    <n v="407.66"/>
    <n v="1222.98"/>
    <x v="7"/>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ORD001"/>
    <s v="John"/>
    <x v="0"/>
    <x v="0"/>
    <x v="0"/>
    <x v="0"/>
    <n v="1"/>
    <n v="175.23"/>
    <n v="175.23"/>
    <x v="0"/>
    <x v="0"/>
    <x v="0"/>
    <s v="Tolu"/>
  </r>
  <r>
    <s v="ORD002"/>
    <s v="Sarah"/>
    <x v="1"/>
    <x v="0"/>
    <x v="1"/>
    <x v="1"/>
    <n v="8"/>
    <n v="492.13"/>
    <n v="3937.04"/>
    <x v="1"/>
    <x v="1"/>
    <x v="0"/>
    <s v="Femi"/>
  </r>
  <r>
    <s v="ORD003"/>
    <s v="Michael"/>
    <x v="0"/>
    <x v="1"/>
    <x v="0"/>
    <x v="0"/>
    <n v="9"/>
    <n v="406.1"/>
    <n v="3654.9"/>
    <x v="2"/>
    <x v="2"/>
    <x v="0"/>
    <s v="Amaka"/>
  </r>
  <r>
    <s v="ORD004"/>
    <s v="Daniel"/>
    <x v="0"/>
    <x v="2"/>
    <x v="2"/>
    <x v="2"/>
    <n v="3"/>
    <n v="52.9"/>
    <n v="158.69999999999999"/>
    <x v="3"/>
    <x v="0"/>
    <x v="1"/>
    <s v="Femi"/>
  </r>
  <r>
    <s v="ORD005"/>
    <s v="Sarah"/>
    <x v="0"/>
    <x v="0"/>
    <x v="2"/>
    <x v="2"/>
    <n v="1"/>
    <n v="132.53"/>
    <n v="132.53"/>
    <x v="4"/>
    <x v="2"/>
    <x v="0"/>
    <s v="Femi"/>
  </r>
  <r>
    <s v="ORD006"/>
    <s v="Esther"/>
    <x v="1"/>
    <x v="3"/>
    <x v="1"/>
    <x v="1"/>
    <n v="7"/>
    <n v="266.94"/>
    <n v="1868.58"/>
    <x v="5"/>
    <x v="1"/>
    <x v="0"/>
    <s v="Joy"/>
  </r>
  <r>
    <s v="ORD007"/>
    <s v="Daniel"/>
    <x v="0"/>
    <x v="2"/>
    <x v="3"/>
    <x v="3"/>
    <n v="8"/>
    <n v="413.66"/>
    <n v="3309.28"/>
    <x v="6"/>
    <x v="3"/>
    <x v="0"/>
    <s v="Joy"/>
  </r>
  <r>
    <s v="ORD008"/>
    <s v="James"/>
    <x v="1"/>
    <x v="1"/>
    <x v="1"/>
    <x v="4"/>
    <n v="7"/>
    <n v="458.7"/>
    <n v="3210.9"/>
    <x v="7"/>
    <x v="1"/>
    <x v="1"/>
    <s v="Joy"/>
  </r>
  <r>
    <s v="ORD009"/>
    <s v="James"/>
    <x v="0"/>
    <x v="1"/>
    <x v="1"/>
    <x v="4"/>
    <n v="2"/>
    <n v="310.61"/>
    <n v="621.22"/>
    <x v="8"/>
    <x v="0"/>
    <x v="0"/>
    <s v="Joy"/>
  </r>
  <r>
    <s v="ORD010"/>
    <s v="Esther"/>
    <x v="0"/>
    <x v="0"/>
    <x v="0"/>
    <x v="0"/>
    <n v="3"/>
    <n v="93.56"/>
    <n v="280.68"/>
    <x v="9"/>
    <x v="4"/>
    <x v="1"/>
    <s v="Tolu"/>
  </r>
  <r>
    <s v="ORD011"/>
    <s v="Not given"/>
    <x v="1"/>
    <x v="2"/>
    <x v="1"/>
    <x v="5"/>
    <n v="1"/>
    <n v="343.73"/>
    <n v="343.73"/>
    <x v="10"/>
    <x v="1"/>
    <x v="2"/>
    <s v="Amaka"/>
  </r>
  <r>
    <s v="ORD012"/>
    <s v="Daniel"/>
    <x v="0"/>
    <x v="0"/>
    <x v="2"/>
    <x v="2"/>
    <n v="9"/>
    <n v="177.23"/>
    <n v="1595.07"/>
    <x v="11"/>
    <x v="5"/>
    <x v="0"/>
    <s v="Ahmed"/>
  </r>
  <r>
    <s v="ORD013"/>
    <s v="Esther"/>
    <x v="0"/>
    <x v="0"/>
    <x v="3"/>
    <x v="3"/>
    <n v="5"/>
    <n v="396.08"/>
    <n v="1980.4"/>
    <x v="12"/>
    <x v="6"/>
    <x v="0"/>
    <s v="Femi"/>
  </r>
  <r>
    <s v="ORD014"/>
    <s v="Esther"/>
    <x v="1"/>
    <x v="4"/>
    <x v="2"/>
    <x v="6"/>
    <n v="1"/>
    <n v="57.86"/>
    <n v="57.86"/>
    <x v="13"/>
    <x v="3"/>
    <x v="0"/>
    <s v="Tolu"/>
  </r>
  <r>
    <s v="ORD015"/>
    <s v="Daniel"/>
    <x v="1"/>
    <x v="0"/>
    <x v="3"/>
    <x v="7"/>
    <n v="3"/>
    <n v="265.58"/>
    <n v="796.74"/>
    <x v="14"/>
    <x v="6"/>
    <x v="0"/>
    <s v="Tolu"/>
  </r>
  <r>
    <s v="ORD016"/>
    <s v="Mary"/>
    <x v="1"/>
    <x v="2"/>
    <x v="2"/>
    <x v="6"/>
    <n v="5"/>
    <n v="13.09"/>
    <n v="104.72"/>
    <x v="15"/>
    <x v="7"/>
    <x v="2"/>
    <s v="Ahmed"/>
  </r>
  <r>
    <s v="ORD017"/>
    <s v="Sarah"/>
    <x v="1"/>
    <x v="1"/>
    <x v="1"/>
    <x v="5"/>
    <n v="9"/>
    <n v="319.56"/>
    <n v="2876.04"/>
    <x v="16"/>
    <x v="8"/>
    <x v="1"/>
    <s v="Joy"/>
  </r>
  <r>
    <s v="ORD018"/>
    <s v="Michael"/>
    <x v="0"/>
    <x v="1"/>
    <x v="1"/>
    <x v="1"/>
    <n v="9"/>
    <n v="395.76"/>
    <n v="3561.84"/>
    <x v="17"/>
    <x v="5"/>
    <x v="0"/>
    <s v="Tolu"/>
  </r>
  <r>
    <s v="ORD019"/>
    <s v="James"/>
    <x v="1"/>
    <x v="5"/>
    <x v="2"/>
    <x v="2"/>
    <n v="5"/>
    <n v="184.29"/>
    <n v="921.45"/>
    <x v="18"/>
    <x v="9"/>
    <x v="1"/>
    <s v="Ahmed"/>
  </r>
  <r>
    <s v="ORD020"/>
    <s v="Daniel"/>
    <x v="1"/>
    <x v="0"/>
    <x v="1"/>
    <x v="5"/>
    <n v="7"/>
    <n v="176.65"/>
    <n v="1236.55"/>
    <x v="19"/>
    <x v="0"/>
    <x v="1"/>
    <s v="Femi"/>
  </r>
  <r>
    <s v="ORD021"/>
    <s v="Deborah"/>
    <x v="1"/>
    <x v="4"/>
    <x v="2"/>
    <x v="8"/>
    <n v="8"/>
    <n v="282.35000000000002"/>
    <n v="2258.8000000000002"/>
    <x v="20"/>
    <x v="10"/>
    <x v="0"/>
    <s v="Joy"/>
  </r>
  <r>
    <s v="ORD022"/>
    <s v="David"/>
    <x v="0"/>
    <x v="0"/>
    <x v="3"/>
    <x v="7"/>
    <n v="10"/>
    <n v="383.51"/>
    <n v="3835.1"/>
    <x v="21"/>
    <x v="8"/>
    <x v="2"/>
    <s v="Joy"/>
  </r>
  <r>
    <s v="ORD023"/>
    <s v="Esther"/>
    <x v="0"/>
    <x v="2"/>
    <x v="1"/>
    <x v="4"/>
    <n v="7"/>
    <n v="415"/>
    <n v="2905"/>
    <x v="22"/>
    <x v="9"/>
    <x v="1"/>
    <s v="Ahmed"/>
  </r>
  <r>
    <s v="ORD024"/>
    <s v="James"/>
    <x v="1"/>
    <x v="5"/>
    <x v="1"/>
    <x v="4"/>
    <n v="10"/>
    <n v="132.85"/>
    <n v="1328.5"/>
    <x v="23"/>
    <x v="7"/>
    <x v="1"/>
    <s v="Femi"/>
  </r>
  <r>
    <s v="ORD025"/>
    <s v="James"/>
    <x v="1"/>
    <x v="2"/>
    <x v="1"/>
    <x v="4"/>
    <n v="2"/>
    <n v="286.70999999999998"/>
    <n v="573.41999999999996"/>
    <x v="24"/>
    <x v="5"/>
    <x v="0"/>
    <s v="Amaka"/>
  </r>
  <r>
    <s v="ORD026"/>
    <s v="Michael"/>
    <x v="0"/>
    <x v="5"/>
    <x v="1"/>
    <x v="4"/>
    <n v="2"/>
    <n v="474.17"/>
    <n v="948.34"/>
    <x v="25"/>
    <x v="4"/>
    <x v="0"/>
    <s v="Tolu"/>
  </r>
  <r>
    <s v="ORD027"/>
    <s v="John"/>
    <x v="0"/>
    <x v="0"/>
    <x v="2"/>
    <x v="2"/>
    <n v="8"/>
    <n v="423.33"/>
    <n v="3386.64"/>
    <x v="26"/>
    <x v="3"/>
    <x v="0"/>
    <s v="Tolu"/>
  </r>
  <r>
    <s v="ORD028"/>
    <s v="Grace"/>
    <x v="1"/>
    <x v="4"/>
    <x v="2"/>
    <x v="6"/>
    <n v="6"/>
    <n v="192.43"/>
    <n v="1154.58"/>
    <x v="27"/>
    <x v="3"/>
    <x v="1"/>
    <s v="Ahmed"/>
  </r>
  <r>
    <s v="ORD029"/>
    <s v="Esther"/>
    <x v="0"/>
    <x v="0"/>
    <x v="2"/>
    <x v="8"/>
    <n v="10"/>
    <n v="65.099999999999994"/>
    <n v="651"/>
    <x v="28"/>
    <x v="4"/>
    <x v="2"/>
    <s v="Ahmed"/>
  </r>
  <r>
    <s v="ORD030"/>
    <s v="Sarah"/>
    <x v="1"/>
    <x v="4"/>
    <x v="3"/>
    <x v="3"/>
    <n v="2"/>
    <n v="58.48"/>
    <n v="116.96"/>
    <x v="29"/>
    <x v="8"/>
    <x v="1"/>
    <s v="Joy"/>
  </r>
  <r>
    <s v="ORD031"/>
    <s v="Daniel"/>
    <x v="0"/>
    <x v="4"/>
    <x v="2"/>
    <x v="2"/>
    <n v="6"/>
    <n v="26.96"/>
    <n v="161.76"/>
    <x v="30"/>
    <x v="5"/>
    <x v="2"/>
    <s v="Tolu"/>
  </r>
  <r>
    <s v="ORD032"/>
    <s v="Mary"/>
    <x v="1"/>
    <x v="4"/>
    <x v="1"/>
    <x v="1"/>
    <n v="2"/>
    <n v="453.74"/>
    <n v="907.48"/>
    <x v="31"/>
    <x v="8"/>
    <x v="2"/>
    <s v="Tolu"/>
  </r>
  <r>
    <s v="ORD033"/>
    <s v="Michael"/>
    <x v="0"/>
    <x v="0"/>
    <x v="3"/>
    <x v="3"/>
    <n v="10"/>
    <n v="412.93"/>
    <n v="4129.3"/>
    <x v="32"/>
    <x v="8"/>
    <x v="0"/>
    <s v="Femi"/>
  </r>
  <r>
    <s v="ORD034"/>
    <s v="Sarah"/>
    <x v="1"/>
    <x v="5"/>
    <x v="2"/>
    <x v="2"/>
    <n v="1"/>
    <n v="298.67"/>
    <n v="298.67"/>
    <x v="33"/>
    <x v="8"/>
    <x v="0"/>
    <s v="Joy"/>
  </r>
  <r>
    <s v="ORD035"/>
    <s v="Sarah"/>
    <x v="1"/>
    <x v="5"/>
    <x v="3"/>
    <x v="9"/>
    <n v="1"/>
    <n v="60.43"/>
    <n v="60.43"/>
    <x v="34"/>
    <x v="9"/>
    <x v="1"/>
    <s v="Ahmed"/>
  </r>
  <r>
    <s v="ORD036"/>
    <s v="Mary"/>
    <x v="1"/>
    <x v="2"/>
    <x v="3"/>
    <x v="9"/>
    <n v="3"/>
    <n v="382.77"/>
    <n v="1148.31"/>
    <x v="17"/>
    <x v="5"/>
    <x v="1"/>
    <s v="Femi"/>
  </r>
  <r>
    <s v="ORD037"/>
    <s v="Sarah"/>
    <x v="1"/>
    <x v="0"/>
    <x v="2"/>
    <x v="8"/>
    <n v="1"/>
    <n v="128.22999999999999"/>
    <n v="128.22999999999999"/>
    <x v="10"/>
    <x v="1"/>
    <x v="1"/>
    <s v="Ahmed"/>
  </r>
  <r>
    <s v="ORD038"/>
    <s v="James"/>
    <x v="0"/>
    <x v="0"/>
    <x v="3"/>
    <x v="7"/>
    <n v="10"/>
    <n v="302.76"/>
    <n v="3027.6"/>
    <x v="35"/>
    <x v="8"/>
    <x v="0"/>
    <s v="Joy"/>
  </r>
  <r>
    <s v="ORD039"/>
    <s v="John"/>
    <x v="1"/>
    <x v="1"/>
    <x v="2"/>
    <x v="8"/>
    <n v="4"/>
    <n v="370.71"/>
    <n v="1482.84"/>
    <x v="36"/>
    <x v="4"/>
    <x v="0"/>
    <s v="Joy"/>
  </r>
  <r>
    <s v="ORD040"/>
    <s v="Grace"/>
    <x v="1"/>
    <x v="0"/>
    <x v="3"/>
    <x v="9"/>
    <n v="3"/>
    <n v="114.5"/>
    <n v="343.5"/>
    <x v="37"/>
    <x v="5"/>
    <x v="0"/>
    <s v="Tolu"/>
  </r>
  <r>
    <s v="ORD041"/>
    <s v="Mary"/>
    <x v="1"/>
    <x v="1"/>
    <x v="0"/>
    <x v="10"/>
    <n v="6"/>
    <n v="396.49"/>
    <n v="2378.94"/>
    <x v="38"/>
    <x v="5"/>
    <x v="2"/>
    <s v="Ahmed"/>
  </r>
  <r>
    <s v="ORD042"/>
    <s v="Esther"/>
    <x v="0"/>
    <x v="5"/>
    <x v="2"/>
    <x v="6"/>
    <n v="8"/>
    <n v="349.25"/>
    <n v="2794"/>
    <x v="39"/>
    <x v="3"/>
    <x v="0"/>
    <s v="Ahmed"/>
  </r>
  <r>
    <s v="ORD043"/>
    <s v="Sarah"/>
    <x v="0"/>
    <x v="4"/>
    <x v="3"/>
    <x v="9"/>
    <n v="10"/>
    <n v="73.42"/>
    <n v="734.2"/>
    <x v="40"/>
    <x v="7"/>
    <x v="0"/>
    <s v="Amaka"/>
  </r>
  <r>
    <s v="ORD044"/>
    <s v="Deborah"/>
    <x v="0"/>
    <x v="2"/>
    <x v="1"/>
    <x v="5"/>
    <n v="9"/>
    <n v="306.58"/>
    <n v="2759.22"/>
    <x v="41"/>
    <x v="4"/>
    <x v="0"/>
    <s v="Femi"/>
  </r>
  <r>
    <s v="ORD045"/>
    <s v="John"/>
    <x v="1"/>
    <x v="0"/>
    <x v="3"/>
    <x v="3"/>
    <n v="2"/>
    <n v="493.99"/>
    <n v="987.98"/>
    <x v="42"/>
    <x v="1"/>
    <x v="2"/>
    <s v="Ahmed"/>
  </r>
  <r>
    <s v="ORD046"/>
    <s v="John"/>
    <x v="1"/>
    <x v="0"/>
    <x v="3"/>
    <x v="3"/>
    <n v="2"/>
    <n v="68.150000000000006"/>
    <n v="136.30000000000001"/>
    <x v="43"/>
    <x v="5"/>
    <x v="2"/>
    <s v="Tolu"/>
  </r>
  <r>
    <s v="ORD047"/>
    <s v="Deborah"/>
    <x v="1"/>
    <x v="0"/>
    <x v="1"/>
    <x v="5"/>
    <n v="5"/>
    <n v="330.84"/>
    <n v="1654.2"/>
    <x v="44"/>
    <x v="1"/>
    <x v="0"/>
    <s v="Femi"/>
  </r>
  <r>
    <s v="ORD048"/>
    <s v="Sarah"/>
    <x v="1"/>
    <x v="2"/>
    <x v="3"/>
    <x v="7"/>
    <n v="4"/>
    <n v="17.170000000000002"/>
    <n v="68.680000000000007"/>
    <x v="45"/>
    <x v="4"/>
    <x v="0"/>
    <s v="Joy"/>
  </r>
  <r>
    <s v="ORD049"/>
    <s v="Esther"/>
    <x v="1"/>
    <x v="4"/>
    <x v="2"/>
    <x v="8"/>
    <n v="2"/>
    <n v="499.51"/>
    <n v="999.02"/>
    <x v="46"/>
    <x v="7"/>
    <x v="0"/>
    <s v="Joy"/>
  </r>
  <r>
    <s v="ORD050"/>
    <s v="Grace"/>
    <x v="0"/>
    <x v="1"/>
    <x v="0"/>
    <x v="0"/>
    <n v="9"/>
    <n v="256.67"/>
    <n v="2310.0300000000002"/>
    <x v="47"/>
    <x v="5"/>
    <x v="2"/>
    <s v="Amaka"/>
  </r>
  <r>
    <s v="ORD051"/>
    <s v="David"/>
    <x v="1"/>
    <x v="0"/>
    <x v="3"/>
    <x v="9"/>
    <n v="6"/>
    <n v="171.68"/>
    <n v="1030.08"/>
    <x v="48"/>
    <x v="11"/>
    <x v="2"/>
    <s v="Tolu"/>
  </r>
  <r>
    <s v="ORD052"/>
    <s v="John"/>
    <x v="1"/>
    <x v="4"/>
    <x v="0"/>
    <x v="10"/>
    <n v="4"/>
    <n v="278.95999999999998"/>
    <n v="1115.8399999999999"/>
    <x v="49"/>
    <x v="3"/>
    <x v="0"/>
    <s v="Ahmed"/>
  </r>
  <r>
    <s v="ORD053"/>
    <s v="James"/>
    <x v="1"/>
    <x v="2"/>
    <x v="1"/>
    <x v="1"/>
    <n v="4"/>
    <n v="312.23"/>
    <n v="1248.92"/>
    <x v="50"/>
    <x v="5"/>
    <x v="0"/>
    <s v="Amaka"/>
  </r>
  <r>
    <s v="ORD054"/>
    <s v="Deborah"/>
    <x v="1"/>
    <x v="0"/>
    <x v="2"/>
    <x v="6"/>
    <n v="6"/>
    <n v="491.06"/>
    <n v="2946.36"/>
    <x v="51"/>
    <x v="11"/>
    <x v="0"/>
    <s v="Amaka"/>
  </r>
  <r>
    <s v="ORD055"/>
    <s v="Grace"/>
    <x v="1"/>
    <x v="0"/>
    <x v="2"/>
    <x v="6"/>
    <n v="5"/>
    <n v="134.44"/>
    <n v="672.2"/>
    <x v="52"/>
    <x v="11"/>
    <x v="2"/>
    <s v="Ahmed"/>
  </r>
  <r>
    <s v="ORD056"/>
    <s v="Sarah"/>
    <x v="1"/>
    <x v="1"/>
    <x v="2"/>
    <x v="8"/>
    <n v="9"/>
    <n v="136.19"/>
    <n v="1225.71"/>
    <x v="53"/>
    <x v="8"/>
    <x v="0"/>
    <s v="Tolu"/>
  </r>
  <r>
    <s v="ORD057"/>
    <s v="Mary"/>
    <x v="0"/>
    <x v="0"/>
    <x v="0"/>
    <x v="11"/>
    <n v="1"/>
    <n v="445.52"/>
    <n v="445.52"/>
    <x v="54"/>
    <x v="2"/>
    <x v="2"/>
    <s v="Ahmed"/>
  </r>
  <r>
    <s v="ORD058"/>
    <s v="Mary"/>
    <x v="0"/>
    <x v="0"/>
    <x v="0"/>
    <x v="0"/>
    <n v="1"/>
    <n v="86.47"/>
    <n v="86.47"/>
    <x v="22"/>
    <x v="9"/>
    <x v="0"/>
    <s v="Tolu"/>
  </r>
  <r>
    <s v="ORD059"/>
    <s v="Deborah"/>
    <x v="0"/>
    <x v="4"/>
    <x v="2"/>
    <x v="6"/>
    <n v="5"/>
    <n v="45.26"/>
    <n v="226.3"/>
    <x v="55"/>
    <x v="4"/>
    <x v="1"/>
    <s v="Ahmed"/>
  </r>
  <r>
    <s v="ORD060"/>
    <s v="Daniel"/>
    <x v="0"/>
    <x v="4"/>
    <x v="2"/>
    <x v="8"/>
    <n v="9"/>
    <n v="326.58999999999997"/>
    <n v="2939.31"/>
    <x v="56"/>
    <x v="7"/>
    <x v="0"/>
    <s v="Ahmed"/>
  </r>
  <r>
    <s v="ORD061"/>
    <s v="Michael"/>
    <x v="0"/>
    <x v="2"/>
    <x v="0"/>
    <x v="11"/>
    <n v="4"/>
    <n v="175.53"/>
    <n v="702.12"/>
    <x v="57"/>
    <x v="3"/>
    <x v="2"/>
    <s v="Joy"/>
  </r>
  <r>
    <s v="ORD062"/>
    <s v="David"/>
    <x v="0"/>
    <x v="1"/>
    <x v="2"/>
    <x v="8"/>
    <n v="1"/>
    <n v="354.01"/>
    <n v="354.01"/>
    <x v="58"/>
    <x v="2"/>
    <x v="1"/>
    <s v="Femi"/>
  </r>
  <r>
    <s v="ORD063"/>
    <s v="Deborah"/>
    <x v="0"/>
    <x v="4"/>
    <x v="0"/>
    <x v="0"/>
    <n v="7"/>
    <n v="240.93"/>
    <n v="1686.51"/>
    <x v="59"/>
    <x v="0"/>
    <x v="0"/>
    <s v="Amaka"/>
  </r>
  <r>
    <s v="ORD064"/>
    <s v="Grace"/>
    <x v="1"/>
    <x v="5"/>
    <x v="2"/>
    <x v="6"/>
    <n v="7"/>
    <n v="383.41"/>
    <n v="2683.87"/>
    <x v="60"/>
    <x v="2"/>
    <x v="0"/>
    <s v="Ahmed"/>
  </r>
  <r>
    <s v="ORD065"/>
    <s v="Esther"/>
    <x v="0"/>
    <x v="1"/>
    <x v="2"/>
    <x v="6"/>
    <n v="8"/>
    <n v="473.5"/>
    <n v="3788"/>
    <x v="53"/>
    <x v="8"/>
    <x v="1"/>
    <s v="Ahmed"/>
  </r>
  <r>
    <s v="ORD066"/>
    <s v="Sarah"/>
    <x v="1"/>
    <x v="1"/>
    <x v="3"/>
    <x v="3"/>
    <n v="5"/>
    <n v="477.31"/>
    <n v="2386.5500000000002"/>
    <x v="61"/>
    <x v="5"/>
    <x v="1"/>
    <s v="Ahmed"/>
  </r>
  <r>
    <s v="ORD067"/>
    <s v="David"/>
    <x v="1"/>
    <x v="4"/>
    <x v="2"/>
    <x v="8"/>
    <n v="7"/>
    <n v="422.13"/>
    <n v="2954.91"/>
    <x v="62"/>
    <x v="6"/>
    <x v="0"/>
    <s v="Amaka"/>
  </r>
  <r>
    <s v="ORD068"/>
    <s v="David"/>
    <x v="0"/>
    <x v="0"/>
    <x v="2"/>
    <x v="2"/>
    <n v="8"/>
    <n v="72.180000000000007"/>
    <n v="577.44000000000005"/>
    <x v="63"/>
    <x v="6"/>
    <x v="2"/>
    <s v="Ahmed"/>
  </r>
  <r>
    <s v="ORD069"/>
    <s v="Grace"/>
    <x v="1"/>
    <x v="5"/>
    <x v="2"/>
    <x v="6"/>
    <n v="4"/>
    <n v="214.91"/>
    <n v="859.64"/>
    <x v="64"/>
    <x v="6"/>
    <x v="2"/>
    <s v="Ahmed"/>
  </r>
  <r>
    <s v="ORD070"/>
    <s v="Michael"/>
    <x v="1"/>
    <x v="5"/>
    <x v="0"/>
    <x v="11"/>
    <n v="5"/>
    <n v="245.58"/>
    <n v="1227.9000000000001"/>
    <x v="65"/>
    <x v="5"/>
    <x v="2"/>
    <s v="Femi"/>
  </r>
  <r>
    <s v="ORD071"/>
    <s v="James"/>
    <x v="1"/>
    <x v="2"/>
    <x v="0"/>
    <x v="0"/>
    <n v="1"/>
    <n v="377.15"/>
    <n v="377.15"/>
    <x v="66"/>
    <x v="10"/>
    <x v="0"/>
    <s v="Amaka"/>
  </r>
  <r>
    <s v="ORD072"/>
    <s v="Daniel"/>
    <x v="0"/>
    <x v="1"/>
    <x v="2"/>
    <x v="8"/>
    <n v="2"/>
    <n v="301.54000000000002"/>
    <n v="603.08000000000004"/>
    <x v="67"/>
    <x v="10"/>
    <x v="1"/>
    <s v="Joy"/>
  </r>
  <r>
    <s v="ORD073"/>
    <s v="Deborah"/>
    <x v="0"/>
    <x v="1"/>
    <x v="3"/>
    <x v="3"/>
    <n v="5"/>
    <n v="445.09"/>
    <n v="2225.4499999999998"/>
    <x v="68"/>
    <x v="0"/>
    <x v="2"/>
    <s v="Ahmed"/>
  </r>
  <r>
    <s v="ORD074"/>
    <s v="Michael"/>
    <x v="1"/>
    <x v="0"/>
    <x v="2"/>
    <x v="6"/>
    <n v="4"/>
    <n v="343.83"/>
    <n v="1375.32"/>
    <x v="69"/>
    <x v="7"/>
    <x v="0"/>
    <s v="Tolu"/>
  </r>
  <r>
    <s v="ORD075"/>
    <s v="Michael"/>
    <x v="0"/>
    <x v="1"/>
    <x v="1"/>
    <x v="5"/>
    <n v="1"/>
    <n v="400.93"/>
    <n v="400.93"/>
    <x v="70"/>
    <x v="11"/>
    <x v="1"/>
    <s v="Joy"/>
  </r>
  <r>
    <s v="ORD076"/>
    <s v="Grace"/>
    <x v="0"/>
    <x v="2"/>
    <x v="0"/>
    <x v="0"/>
    <n v="6"/>
    <n v="74.52"/>
    <n v="447.12"/>
    <x v="71"/>
    <x v="0"/>
    <x v="0"/>
    <s v="Tolu"/>
  </r>
  <r>
    <s v="ORD077"/>
    <s v="James"/>
    <x v="1"/>
    <x v="1"/>
    <x v="1"/>
    <x v="5"/>
    <n v="10"/>
    <n v="312.83"/>
    <n v="3128.3"/>
    <x v="12"/>
    <x v="6"/>
    <x v="0"/>
    <s v="Joy"/>
  </r>
  <r>
    <s v="ORD078"/>
    <s v="Daniel"/>
    <x v="1"/>
    <x v="0"/>
    <x v="1"/>
    <x v="5"/>
    <n v="5"/>
    <n v="327.24"/>
    <n v="1636.2"/>
    <x v="72"/>
    <x v="0"/>
    <x v="0"/>
    <s v="Amaka"/>
  </r>
  <r>
    <s v="ORD079"/>
    <s v="John"/>
    <x v="0"/>
    <x v="5"/>
    <x v="1"/>
    <x v="1"/>
    <n v="8"/>
    <n v="68.790000000000006"/>
    <n v="550.32000000000005"/>
    <x v="73"/>
    <x v="1"/>
    <x v="0"/>
    <s v="Tolu"/>
  </r>
  <r>
    <s v="ORD080"/>
    <s v="John"/>
    <x v="0"/>
    <x v="5"/>
    <x v="3"/>
    <x v="9"/>
    <n v="4"/>
    <n v="10.82"/>
    <n v="43.28"/>
    <x v="74"/>
    <x v="3"/>
    <x v="0"/>
    <s v="Ahmed"/>
  </r>
  <r>
    <s v="ORD081"/>
    <s v="John"/>
    <x v="1"/>
    <x v="1"/>
    <x v="3"/>
    <x v="3"/>
    <n v="1"/>
    <n v="374.82"/>
    <n v="374.82"/>
    <x v="29"/>
    <x v="8"/>
    <x v="0"/>
    <s v="Joy"/>
  </r>
  <r>
    <s v="ORD082"/>
    <s v="John"/>
    <x v="0"/>
    <x v="2"/>
    <x v="2"/>
    <x v="6"/>
    <n v="1"/>
    <n v="488.48"/>
    <n v="488.48"/>
    <x v="75"/>
    <x v="2"/>
    <x v="1"/>
    <s v="Joy"/>
  </r>
  <r>
    <s v="ORD083"/>
    <s v="David"/>
    <x v="0"/>
    <x v="0"/>
    <x v="0"/>
    <x v="10"/>
    <n v="7"/>
    <n v="78.91"/>
    <n v="552.37"/>
    <x v="76"/>
    <x v="5"/>
    <x v="0"/>
    <s v="Ahmed"/>
  </r>
  <r>
    <s v="ORD084"/>
    <s v="Michael"/>
    <x v="0"/>
    <x v="0"/>
    <x v="3"/>
    <x v="7"/>
    <n v="9"/>
    <n v="15.82"/>
    <n v="142.38"/>
    <x v="77"/>
    <x v="5"/>
    <x v="0"/>
    <s v="Ahmed"/>
  </r>
  <r>
    <s v="ORD085"/>
    <s v="Michael"/>
    <x v="0"/>
    <x v="1"/>
    <x v="0"/>
    <x v="10"/>
    <n v="1"/>
    <n v="123.37"/>
    <n v="123.37"/>
    <x v="78"/>
    <x v="0"/>
    <x v="0"/>
    <s v="Femi"/>
  </r>
  <r>
    <s v="ORD086"/>
    <s v="John"/>
    <x v="1"/>
    <x v="4"/>
    <x v="3"/>
    <x v="7"/>
    <n v="2"/>
    <n v="175.69"/>
    <n v="351.38"/>
    <x v="79"/>
    <x v="1"/>
    <x v="2"/>
    <s v="Amaka"/>
  </r>
  <r>
    <s v="ORD087"/>
    <s v="Deborah"/>
    <x v="1"/>
    <x v="1"/>
    <x v="2"/>
    <x v="6"/>
    <n v="8"/>
    <n v="37.950000000000003"/>
    <n v="303.60000000000002"/>
    <x v="80"/>
    <x v="6"/>
    <x v="1"/>
    <s v="Joy"/>
  </r>
  <r>
    <s v="ORD088"/>
    <s v="Daniel"/>
    <x v="0"/>
    <x v="1"/>
    <x v="1"/>
    <x v="5"/>
    <n v="1"/>
    <n v="447.14"/>
    <n v="447.14"/>
    <x v="81"/>
    <x v="0"/>
    <x v="2"/>
    <s v="Femi"/>
  </r>
  <r>
    <s v="ORD089"/>
    <s v="Michael"/>
    <x v="1"/>
    <x v="0"/>
    <x v="2"/>
    <x v="8"/>
    <n v="2"/>
    <n v="58.49"/>
    <n v="116.98"/>
    <x v="82"/>
    <x v="11"/>
    <x v="2"/>
    <s v="Joy"/>
  </r>
  <r>
    <s v="ORD090"/>
    <s v="James"/>
    <x v="1"/>
    <x v="4"/>
    <x v="2"/>
    <x v="2"/>
    <n v="10"/>
    <n v="462.19"/>
    <n v="4621.8999999999996"/>
    <x v="83"/>
    <x v="6"/>
    <x v="0"/>
    <s v="Amaka"/>
  </r>
  <r>
    <s v="ORD091"/>
    <s v="Deborah"/>
    <x v="1"/>
    <x v="0"/>
    <x v="3"/>
    <x v="7"/>
    <n v="5"/>
    <n v="215.42"/>
    <n v="1077.0999999999999"/>
    <x v="84"/>
    <x v="8"/>
    <x v="0"/>
    <s v="Amaka"/>
  </r>
  <r>
    <s v="ORD092"/>
    <s v="Sarah"/>
    <x v="1"/>
    <x v="5"/>
    <x v="0"/>
    <x v="10"/>
    <n v="3"/>
    <n v="368.01"/>
    <n v="1104.03"/>
    <x v="85"/>
    <x v="5"/>
    <x v="2"/>
    <s v="Amaka"/>
  </r>
  <r>
    <s v="ORD093"/>
    <s v="Deborah"/>
    <x v="0"/>
    <x v="5"/>
    <x v="2"/>
    <x v="6"/>
    <n v="8"/>
    <n v="321.89999999999998"/>
    <n v="2575.1999999999998"/>
    <x v="86"/>
    <x v="11"/>
    <x v="0"/>
    <s v="Femi"/>
  </r>
  <r>
    <s v="ORD094"/>
    <s v="Esther"/>
    <x v="1"/>
    <x v="4"/>
    <x v="3"/>
    <x v="7"/>
    <n v="2"/>
    <n v="334.61"/>
    <n v="669.22"/>
    <x v="87"/>
    <x v="1"/>
    <x v="1"/>
    <s v="Tolu"/>
  </r>
  <r>
    <s v="ORD095"/>
    <s v="Mary"/>
    <x v="0"/>
    <x v="4"/>
    <x v="3"/>
    <x v="9"/>
    <n v="5"/>
    <n v="436.6"/>
    <n v="2183"/>
    <x v="88"/>
    <x v="10"/>
    <x v="2"/>
    <s v="Amaka"/>
  </r>
  <r>
    <s v="ORD096"/>
    <s v="James"/>
    <x v="1"/>
    <x v="5"/>
    <x v="1"/>
    <x v="1"/>
    <n v="7"/>
    <n v="253.75"/>
    <n v="1776.25"/>
    <x v="89"/>
    <x v="5"/>
    <x v="0"/>
    <s v="Amaka"/>
  </r>
  <r>
    <s v="ORD097"/>
    <s v="Grace"/>
    <x v="1"/>
    <x v="1"/>
    <x v="0"/>
    <x v="10"/>
    <n v="4"/>
    <n v="44.59"/>
    <n v="178.36"/>
    <x v="90"/>
    <x v="6"/>
    <x v="1"/>
    <s v="Joy"/>
  </r>
  <r>
    <s v="ORD098"/>
    <s v="James"/>
    <x v="0"/>
    <x v="0"/>
    <x v="1"/>
    <x v="1"/>
    <n v="1"/>
    <n v="325.31"/>
    <n v="325.31"/>
    <x v="91"/>
    <x v="10"/>
    <x v="0"/>
    <s v="Tolu"/>
  </r>
  <r>
    <s v="ORD099"/>
    <s v="Daniel"/>
    <x v="0"/>
    <x v="4"/>
    <x v="3"/>
    <x v="3"/>
    <n v="7"/>
    <n v="357.18"/>
    <n v="2500.2600000000002"/>
    <x v="76"/>
    <x v="5"/>
    <x v="2"/>
    <s v="Tolu"/>
  </r>
  <r>
    <s v="ORD100"/>
    <s v="Esther"/>
    <x v="1"/>
    <x v="4"/>
    <x v="2"/>
    <x v="6"/>
    <n v="7"/>
    <n v="192.78"/>
    <n v="1349.46"/>
    <x v="92"/>
    <x v="6"/>
    <x v="0"/>
    <s v="Tolu"/>
  </r>
  <r>
    <s v="ORD101"/>
    <s v="Esther"/>
    <x v="0"/>
    <x v="5"/>
    <x v="3"/>
    <x v="3"/>
    <n v="2"/>
    <n v="316.39"/>
    <n v="632.78"/>
    <x v="93"/>
    <x v="3"/>
    <x v="0"/>
    <s v="Joy"/>
  </r>
  <r>
    <s v="ORD102"/>
    <s v="Grace"/>
    <x v="1"/>
    <x v="1"/>
    <x v="2"/>
    <x v="2"/>
    <n v="2"/>
    <n v="93.5"/>
    <n v="187"/>
    <x v="94"/>
    <x v="9"/>
    <x v="2"/>
    <s v="Ahmed"/>
  </r>
  <r>
    <s v="ORD103"/>
    <s v="Michael"/>
    <x v="1"/>
    <x v="4"/>
    <x v="1"/>
    <x v="1"/>
    <n v="5"/>
    <n v="245.53"/>
    <n v="1227.6500000000001"/>
    <x v="95"/>
    <x v="0"/>
    <x v="1"/>
    <s v="Amaka"/>
  </r>
  <r>
    <s v="ORD104"/>
    <s v="David"/>
    <x v="0"/>
    <x v="4"/>
    <x v="2"/>
    <x v="6"/>
    <n v="7"/>
    <n v="397.52"/>
    <n v="2782.64"/>
    <x v="11"/>
    <x v="5"/>
    <x v="2"/>
    <s v="Femi"/>
  </r>
  <r>
    <s v="ORD105"/>
    <s v="Michael"/>
    <x v="0"/>
    <x v="0"/>
    <x v="1"/>
    <x v="1"/>
    <n v="7"/>
    <n v="63.98"/>
    <n v="447.86"/>
    <x v="96"/>
    <x v="3"/>
    <x v="0"/>
    <s v="Femi"/>
  </r>
  <r>
    <s v="ORD106"/>
    <s v="Sarah"/>
    <x v="0"/>
    <x v="2"/>
    <x v="2"/>
    <x v="2"/>
    <n v="5"/>
    <n v="119.14"/>
    <n v="595.70000000000005"/>
    <x v="71"/>
    <x v="0"/>
    <x v="0"/>
    <s v="Femi"/>
  </r>
  <r>
    <s v="ORD107"/>
    <s v="Michael"/>
    <x v="0"/>
    <x v="0"/>
    <x v="1"/>
    <x v="1"/>
    <n v="1"/>
    <n v="272.64999999999998"/>
    <n v="272.64999999999998"/>
    <x v="97"/>
    <x v="1"/>
    <x v="2"/>
    <s v="Amaka"/>
  </r>
  <r>
    <s v="ORD108"/>
    <s v="Grace"/>
    <x v="1"/>
    <x v="0"/>
    <x v="3"/>
    <x v="3"/>
    <n v="7"/>
    <n v="402.16"/>
    <n v="2815.12"/>
    <x v="98"/>
    <x v="9"/>
    <x v="1"/>
    <s v="Tolu"/>
  </r>
  <r>
    <s v="ORD109"/>
    <s v="Mary"/>
    <x v="0"/>
    <x v="5"/>
    <x v="2"/>
    <x v="6"/>
    <n v="7"/>
    <n v="223.01"/>
    <n v="1561.07"/>
    <x v="99"/>
    <x v="1"/>
    <x v="0"/>
    <s v="Amaka"/>
  </r>
  <r>
    <s v="ORD110"/>
    <s v="David"/>
    <x v="0"/>
    <x v="2"/>
    <x v="2"/>
    <x v="2"/>
    <n v="10"/>
    <n v="445.18"/>
    <n v="4451.8"/>
    <x v="100"/>
    <x v="3"/>
    <x v="0"/>
    <s v="Ahmed"/>
  </r>
  <r>
    <s v="ORD111"/>
    <s v="Grace"/>
    <x v="0"/>
    <x v="4"/>
    <x v="0"/>
    <x v="0"/>
    <n v="4"/>
    <n v="84.83"/>
    <n v="339.32"/>
    <x v="101"/>
    <x v="3"/>
    <x v="0"/>
    <s v="Joy"/>
  </r>
  <r>
    <s v="ORD112"/>
    <s v="Grace"/>
    <x v="0"/>
    <x v="4"/>
    <x v="0"/>
    <x v="10"/>
    <n v="6"/>
    <n v="468.34"/>
    <n v="2810.04"/>
    <x v="62"/>
    <x v="6"/>
    <x v="2"/>
    <s v="Femi"/>
  </r>
  <r>
    <s v="ORD113"/>
    <s v="Deborah"/>
    <x v="1"/>
    <x v="2"/>
    <x v="3"/>
    <x v="7"/>
    <n v="2"/>
    <n v="389.91"/>
    <n v="779.82"/>
    <x v="102"/>
    <x v="4"/>
    <x v="0"/>
    <s v="Amaka"/>
  </r>
  <r>
    <s v="ORD114"/>
    <s v="Deborah"/>
    <x v="1"/>
    <x v="5"/>
    <x v="0"/>
    <x v="10"/>
    <n v="1"/>
    <n v="228.07"/>
    <n v="228.07"/>
    <x v="85"/>
    <x v="5"/>
    <x v="1"/>
    <s v="Tolu"/>
  </r>
  <r>
    <s v="ORD115"/>
    <s v="Michael"/>
    <x v="1"/>
    <x v="2"/>
    <x v="0"/>
    <x v="10"/>
    <n v="3"/>
    <n v="370.45"/>
    <n v="1111.3499999999999"/>
    <x v="103"/>
    <x v="11"/>
    <x v="0"/>
    <s v="Ahmed"/>
  </r>
  <r>
    <s v="ORD116"/>
    <s v="David"/>
    <x v="1"/>
    <x v="0"/>
    <x v="3"/>
    <x v="3"/>
    <n v="2"/>
    <n v="380.94"/>
    <n v="761.88"/>
    <x v="104"/>
    <x v="10"/>
    <x v="0"/>
    <s v="Femi"/>
  </r>
  <r>
    <s v="ORD117"/>
    <s v="John"/>
    <x v="1"/>
    <x v="2"/>
    <x v="1"/>
    <x v="5"/>
    <n v="1"/>
    <n v="367.9"/>
    <n v="367.9"/>
    <x v="36"/>
    <x v="4"/>
    <x v="1"/>
    <s v="Ahmed"/>
  </r>
  <r>
    <s v="ORD118"/>
    <s v="Sarah"/>
    <x v="1"/>
    <x v="2"/>
    <x v="0"/>
    <x v="11"/>
    <n v="2"/>
    <n v="339.16"/>
    <n v="678.32"/>
    <x v="105"/>
    <x v="3"/>
    <x v="2"/>
    <s v="Tolu"/>
  </r>
  <r>
    <s v="ORD119"/>
    <s v="Mary"/>
    <x v="1"/>
    <x v="2"/>
    <x v="2"/>
    <x v="8"/>
    <n v="7"/>
    <n v="437.52"/>
    <n v="3062.64"/>
    <x v="106"/>
    <x v="3"/>
    <x v="0"/>
    <s v="Tolu"/>
  </r>
  <r>
    <s v="ORD120"/>
    <s v="Esther"/>
    <x v="0"/>
    <x v="2"/>
    <x v="0"/>
    <x v="0"/>
    <n v="2"/>
    <n v="482.55"/>
    <n v="965.1"/>
    <x v="107"/>
    <x v="9"/>
    <x v="1"/>
    <s v="Ahmed"/>
  </r>
  <r>
    <s v="ORD121"/>
    <s v="Mary"/>
    <x v="1"/>
    <x v="4"/>
    <x v="2"/>
    <x v="6"/>
    <n v="9"/>
    <n v="36.08"/>
    <n v="324.72000000000003"/>
    <x v="108"/>
    <x v="0"/>
    <x v="2"/>
    <s v="Tolu"/>
  </r>
  <r>
    <s v="ORD122"/>
    <s v="David"/>
    <x v="0"/>
    <x v="4"/>
    <x v="0"/>
    <x v="0"/>
    <n v="2"/>
    <n v="106.88"/>
    <n v="213.76"/>
    <x v="109"/>
    <x v="7"/>
    <x v="2"/>
    <s v="Ahmed"/>
  </r>
  <r>
    <s v="ORD123"/>
    <s v="Deborah"/>
    <x v="0"/>
    <x v="0"/>
    <x v="2"/>
    <x v="8"/>
    <n v="10"/>
    <n v="483.64"/>
    <n v="4836.3999999999996"/>
    <x v="36"/>
    <x v="4"/>
    <x v="0"/>
    <s v="Amaka"/>
  </r>
  <r>
    <s v="ORD124"/>
    <s v="David"/>
    <x v="1"/>
    <x v="4"/>
    <x v="3"/>
    <x v="3"/>
    <n v="2"/>
    <n v="406.8"/>
    <n v="813.6"/>
    <x v="80"/>
    <x v="6"/>
    <x v="0"/>
    <s v="Ahmed"/>
  </r>
  <r>
    <s v="ORD125"/>
    <s v="David"/>
    <x v="0"/>
    <x v="0"/>
    <x v="3"/>
    <x v="3"/>
    <n v="8"/>
    <n v="280.62"/>
    <n v="2244.96"/>
    <x v="37"/>
    <x v="5"/>
    <x v="1"/>
    <s v="Tolu"/>
  </r>
  <r>
    <s v="ORD126"/>
    <s v="Deborah"/>
    <x v="1"/>
    <x v="4"/>
    <x v="2"/>
    <x v="2"/>
    <n v="4"/>
    <n v="499.98"/>
    <n v="1999.92"/>
    <x v="110"/>
    <x v="8"/>
    <x v="0"/>
    <s v="Femi"/>
  </r>
  <r>
    <s v="ORD127"/>
    <s v="Daniel"/>
    <x v="0"/>
    <x v="4"/>
    <x v="3"/>
    <x v="9"/>
    <n v="6"/>
    <n v="72.72"/>
    <n v="436.32"/>
    <x v="95"/>
    <x v="0"/>
    <x v="1"/>
    <s v="Joy"/>
  </r>
  <r>
    <s v="ORD128"/>
    <s v="John"/>
    <x v="1"/>
    <x v="4"/>
    <x v="1"/>
    <x v="5"/>
    <n v="8"/>
    <n v="35.67"/>
    <n v="285.36"/>
    <x v="12"/>
    <x v="6"/>
    <x v="0"/>
    <s v="Ahmed"/>
  </r>
  <r>
    <s v="ORD129"/>
    <s v="Esther"/>
    <x v="0"/>
    <x v="4"/>
    <x v="2"/>
    <x v="8"/>
    <n v="2"/>
    <n v="249.05"/>
    <n v="498.1"/>
    <x v="47"/>
    <x v="5"/>
    <x v="1"/>
    <s v="Joy"/>
  </r>
  <r>
    <s v="ORD130"/>
    <s v="John"/>
    <x v="0"/>
    <x v="1"/>
    <x v="3"/>
    <x v="3"/>
    <n v="9"/>
    <n v="12.52"/>
    <n v="112.68"/>
    <x v="111"/>
    <x v="11"/>
    <x v="0"/>
    <s v="Joy"/>
  </r>
  <r>
    <s v="ORD131"/>
    <s v="Esther"/>
    <x v="0"/>
    <x v="0"/>
    <x v="3"/>
    <x v="9"/>
    <n v="5"/>
    <n v="55.21"/>
    <n v="276.05"/>
    <x v="112"/>
    <x v="6"/>
    <x v="0"/>
    <s v="Amaka"/>
  </r>
  <r>
    <s v="ORD132"/>
    <s v="Michael"/>
    <x v="0"/>
    <x v="5"/>
    <x v="3"/>
    <x v="3"/>
    <n v="4"/>
    <n v="78.290000000000006"/>
    <n v="313.16000000000003"/>
    <x v="95"/>
    <x v="0"/>
    <x v="0"/>
    <s v="Amaka"/>
  </r>
  <r>
    <s v="ORD133"/>
    <s v="Esther"/>
    <x v="0"/>
    <x v="4"/>
    <x v="2"/>
    <x v="8"/>
    <n v="6"/>
    <n v="138.63999999999999"/>
    <n v="831.84"/>
    <x v="113"/>
    <x v="9"/>
    <x v="1"/>
    <s v="Joy"/>
  </r>
  <r>
    <s v="ORD134"/>
    <s v="Sarah"/>
    <x v="1"/>
    <x v="0"/>
    <x v="3"/>
    <x v="3"/>
    <n v="7"/>
    <n v="89.64"/>
    <n v="627.48"/>
    <x v="114"/>
    <x v="3"/>
    <x v="0"/>
    <s v="Joy"/>
  </r>
  <r>
    <s v="ORD135"/>
    <s v="Sarah"/>
    <x v="1"/>
    <x v="0"/>
    <x v="1"/>
    <x v="5"/>
    <n v="6"/>
    <n v="375.54"/>
    <n v="2253.2399999999998"/>
    <x v="115"/>
    <x v="5"/>
    <x v="2"/>
    <s v="Femi"/>
  </r>
  <r>
    <s v="ORD136"/>
    <s v="Mary"/>
    <x v="0"/>
    <x v="0"/>
    <x v="2"/>
    <x v="6"/>
    <n v="7"/>
    <n v="211.29"/>
    <n v="1479.03"/>
    <x v="39"/>
    <x v="3"/>
    <x v="0"/>
    <s v="Tolu"/>
  </r>
  <r>
    <s v="ORD137"/>
    <s v="Michael"/>
    <x v="1"/>
    <x v="4"/>
    <x v="3"/>
    <x v="9"/>
    <n v="8"/>
    <n v="427.17"/>
    <n v="3417.36"/>
    <x v="116"/>
    <x v="0"/>
    <x v="1"/>
    <s v="Joy"/>
  </r>
  <r>
    <s v="ORD138"/>
    <s v="Deborah"/>
    <x v="1"/>
    <x v="2"/>
    <x v="0"/>
    <x v="0"/>
    <n v="8"/>
    <n v="477.69"/>
    <n v="3821.52"/>
    <x v="106"/>
    <x v="3"/>
    <x v="0"/>
    <s v="Ahmed"/>
  </r>
  <r>
    <s v="ORD139"/>
    <s v="David"/>
    <x v="0"/>
    <x v="0"/>
    <x v="2"/>
    <x v="8"/>
    <n v="10"/>
    <n v="295.62"/>
    <n v="2956.2"/>
    <x v="117"/>
    <x v="10"/>
    <x v="0"/>
    <s v="Tolu"/>
  </r>
  <r>
    <s v="ORD140"/>
    <s v="Grace"/>
    <x v="0"/>
    <x v="0"/>
    <x v="2"/>
    <x v="6"/>
    <n v="6"/>
    <n v="392.89"/>
    <n v="2357.34"/>
    <x v="118"/>
    <x v="11"/>
    <x v="1"/>
    <s v="Ahmed"/>
  </r>
  <r>
    <s v="ORD141"/>
    <s v="Grace"/>
    <x v="0"/>
    <x v="1"/>
    <x v="3"/>
    <x v="9"/>
    <n v="9"/>
    <n v="429.2"/>
    <n v="3862.8"/>
    <x v="116"/>
    <x v="0"/>
    <x v="0"/>
    <s v="Joy"/>
  </r>
  <r>
    <s v="ORD142"/>
    <s v="Grace"/>
    <x v="1"/>
    <x v="2"/>
    <x v="0"/>
    <x v="10"/>
    <n v="6"/>
    <n v="125.01"/>
    <n v="750.06"/>
    <x v="96"/>
    <x v="3"/>
    <x v="2"/>
    <s v="Femi"/>
  </r>
  <r>
    <s v="ORD143"/>
    <s v="Esther"/>
    <x v="1"/>
    <x v="4"/>
    <x v="1"/>
    <x v="4"/>
    <n v="7"/>
    <n v="256.99"/>
    <n v="1798.93"/>
    <x v="78"/>
    <x v="0"/>
    <x v="0"/>
    <s v="Joy"/>
  </r>
  <r>
    <s v="ORD144"/>
    <s v="Sarah"/>
    <x v="0"/>
    <x v="4"/>
    <x v="3"/>
    <x v="7"/>
    <n v="3"/>
    <n v="378.03"/>
    <n v="1134.0899999999999"/>
    <x v="119"/>
    <x v="0"/>
    <x v="0"/>
    <s v="Femi"/>
  </r>
  <r>
    <s v="ORD145"/>
    <s v="Mary"/>
    <x v="1"/>
    <x v="5"/>
    <x v="3"/>
    <x v="3"/>
    <n v="5"/>
    <n v="245.06"/>
    <n v="1225.3"/>
    <x v="101"/>
    <x v="3"/>
    <x v="0"/>
    <s v="Joy"/>
  </r>
  <r>
    <s v="ORD146"/>
    <s v="Deborah"/>
    <x v="0"/>
    <x v="5"/>
    <x v="2"/>
    <x v="2"/>
    <n v="1"/>
    <n v="383.51"/>
    <n v="383.51"/>
    <x v="120"/>
    <x v="3"/>
    <x v="1"/>
    <s v="Amaka"/>
  </r>
  <r>
    <s v="ORD147"/>
    <s v="Michael"/>
    <x v="1"/>
    <x v="4"/>
    <x v="3"/>
    <x v="9"/>
    <n v="6"/>
    <n v="158.94"/>
    <n v="953.64"/>
    <x v="118"/>
    <x v="11"/>
    <x v="0"/>
    <s v="Femi"/>
  </r>
  <r>
    <s v="ORD148"/>
    <s v="Grace"/>
    <x v="1"/>
    <x v="0"/>
    <x v="0"/>
    <x v="0"/>
    <n v="8"/>
    <n v="428.8"/>
    <n v="3430.4"/>
    <x v="100"/>
    <x v="3"/>
    <x v="1"/>
    <s v="Amaka"/>
  </r>
  <r>
    <s v="ORD149"/>
    <s v="David"/>
    <x v="0"/>
    <x v="2"/>
    <x v="0"/>
    <x v="0"/>
    <n v="9"/>
    <n v="378.21"/>
    <n v="3403.89"/>
    <x v="121"/>
    <x v="8"/>
    <x v="2"/>
    <s v="Ahmed"/>
  </r>
  <r>
    <s v="ORD150"/>
    <s v="James"/>
    <x v="1"/>
    <x v="0"/>
    <x v="3"/>
    <x v="7"/>
    <n v="3"/>
    <n v="407.66"/>
    <n v="1222.98"/>
    <x v="7"/>
    <x v="1"/>
    <x v="1"/>
    <s v="Fem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B64A45-35CD-482B-B66C-B202FEF6A4C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24:B29"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3">
        <item x="1"/>
        <item x="0"/>
        <item t="default"/>
      </items>
    </pivotField>
    <pivotField showAll="0">
      <items count="7">
        <item x="4"/>
        <item x="1"/>
        <item x="2"/>
        <item x="0"/>
        <item x="3"/>
        <item x="5"/>
        <item t="default"/>
      </items>
    </pivotField>
    <pivotField axis="axisRow" showAll="0">
      <items count="5">
        <item x="2"/>
        <item x="0"/>
        <item x="1"/>
        <item x="3"/>
        <item t="default"/>
      </items>
    </pivotField>
    <pivotField showAll="0"/>
    <pivotField numFmtId="1" showAll="0"/>
    <pivotField numFmtId="164" showAll="0"/>
    <pivotField numFmtId="164" showAll="0"/>
    <pivotField numFmtId="14" showAll="0">
      <items count="123">
        <item x="46"/>
        <item x="40"/>
        <item x="15"/>
        <item x="69"/>
        <item x="109"/>
        <item x="23"/>
        <item x="56"/>
        <item x="58"/>
        <item x="75"/>
        <item x="4"/>
        <item x="2"/>
        <item x="60"/>
        <item x="54"/>
        <item x="70"/>
        <item x="52"/>
        <item x="111"/>
        <item x="51"/>
        <item x="86"/>
        <item x="118"/>
        <item x="82"/>
        <item x="48"/>
        <item x="103"/>
        <item x="62"/>
        <item x="14"/>
        <item x="112"/>
        <item x="92"/>
        <item x="90"/>
        <item x="12"/>
        <item x="80"/>
        <item x="63"/>
        <item x="83"/>
        <item x="64"/>
        <item x="74"/>
        <item x="101"/>
        <item x="114"/>
        <item x="93"/>
        <item x="27"/>
        <item x="26"/>
        <item x="39"/>
        <item x="100"/>
        <item x="120"/>
        <item x="105"/>
        <item x="96"/>
        <item x="13"/>
        <item x="49"/>
        <item x="106"/>
        <item x="57"/>
        <item x="6"/>
        <item x="25"/>
        <item x="102"/>
        <item x="41"/>
        <item x="36"/>
        <item x="55"/>
        <item x="28"/>
        <item x="45"/>
        <item x="9"/>
        <item x="22"/>
        <item x="113"/>
        <item x="94"/>
        <item x="34"/>
        <item x="107"/>
        <item x="18"/>
        <item x="98"/>
        <item x="71"/>
        <item x="116"/>
        <item x="78"/>
        <item x="119"/>
        <item x="59"/>
        <item x="95"/>
        <item x="3"/>
        <item x="81"/>
        <item x="68"/>
        <item x="8"/>
        <item x="108"/>
        <item x="19"/>
        <item x="72"/>
        <item x="0"/>
        <item x="89"/>
        <item x="11"/>
        <item x="38"/>
        <item x="77"/>
        <item x="50"/>
        <item x="85"/>
        <item x="61"/>
        <item x="24"/>
        <item x="17"/>
        <item x="37"/>
        <item x="76"/>
        <item x="47"/>
        <item x="30"/>
        <item x="43"/>
        <item x="115"/>
        <item x="65"/>
        <item x="29"/>
        <item x="21"/>
        <item x="35"/>
        <item x="121"/>
        <item x="84"/>
        <item x="31"/>
        <item x="32"/>
        <item x="110"/>
        <item x="53"/>
        <item x="33"/>
        <item x="16"/>
        <item x="5"/>
        <item x="44"/>
        <item x="73"/>
        <item x="79"/>
        <item x="87"/>
        <item x="1"/>
        <item x="10"/>
        <item x="42"/>
        <item x="97"/>
        <item x="7"/>
        <item x="99"/>
        <item x="20"/>
        <item x="104"/>
        <item x="88"/>
        <item x="67"/>
        <item x="66"/>
        <item x="91"/>
        <item x="117"/>
        <item t="default"/>
      </items>
    </pivotField>
    <pivotField showAll="0">
      <items count="4">
        <item x="0"/>
        <item x="1"/>
        <item x="2"/>
        <item t="default"/>
      </items>
    </pivotField>
    <pivotField showAll="0"/>
  </pivotFields>
  <rowFields count="1">
    <field x="4"/>
  </rowFields>
  <rowItems count="5">
    <i>
      <x/>
    </i>
    <i>
      <x v="1"/>
    </i>
    <i>
      <x v="2"/>
    </i>
    <i>
      <x v="3"/>
    </i>
    <i t="grand">
      <x/>
    </i>
  </rowItems>
  <colItems count="1">
    <i/>
  </colItems>
  <dataFields count="1">
    <dataField name="Total Order" fld="0" subtotal="count" baseField="3" baseItem="0"/>
  </dataFields>
  <chartFormats count="5">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E5C294-CE35-4564-8827-287F3F1D884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9:B16" firstHeaderRow="1" firstDataRow="1" firstDataCol="1"/>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3">
        <item x="1"/>
        <item x="0"/>
        <item t="default"/>
      </items>
    </pivotField>
    <pivotField axis="axisRow" showAll="0">
      <items count="7">
        <item x="4"/>
        <item x="1"/>
        <item x="2"/>
        <item x="0"/>
        <item x="3"/>
        <item x="5"/>
        <item t="default"/>
      </items>
    </pivotField>
    <pivotField showAll="0"/>
    <pivotField showAll="0"/>
    <pivotField numFmtId="1" showAll="0"/>
    <pivotField numFmtId="164" showAll="0"/>
    <pivotField numFmtId="164" showAll="0"/>
    <pivotField numFmtId="14" showAll="0">
      <items count="123">
        <item x="46"/>
        <item x="40"/>
        <item x="15"/>
        <item x="69"/>
        <item x="109"/>
        <item x="23"/>
        <item x="56"/>
        <item x="58"/>
        <item x="75"/>
        <item x="4"/>
        <item x="2"/>
        <item x="60"/>
        <item x="54"/>
        <item x="70"/>
        <item x="52"/>
        <item x="111"/>
        <item x="51"/>
        <item x="86"/>
        <item x="118"/>
        <item x="82"/>
        <item x="48"/>
        <item x="103"/>
        <item x="62"/>
        <item x="14"/>
        <item x="112"/>
        <item x="92"/>
        <item x="90"/>
        <item x="12"/>
        <item x="80"/>
        <item x="63"/>
        <item x="83"/>
        <item x="64"/>
        <item x="74"/>
        <item x="101"/>
        <item x="114"/>
        <item x="93"/>
        <item x="27"/>
        <item x="26"/>
        <item x="39"/>
        <item x="100"/>
        <item x="120"/>
        <item x="105"/>
        <item x="96"/>
        <item x="13"/>
        <item x="49"/>
        <item x="106"/>
        <item x="57"/>
        <item x="6"/>
        <item x="25"/>
        <item x="102"/>
        <item x="41"/>
        <item x="36"/>
        <item x="55"/>
        <item x="28"/>
        <item x="45"/>
        <item x="9"/>
        <item x="22"/>
        <item x="113"/>
        <item x="94"/>
        <item x="34"/>
        <item x="107"/>
        <item x="18"/>
        <item x="98"/>
        <item x="71"/>
        <item x="116"/>
        <item x="78"/>
        <item x="119"/>
        <item x="59"/>
        <item x="95"/>
        <item x="3"/>
        <item x="81"/>
        <item x="68"/>
        <item x="8"/>
        <item x="108"/>
        <item x="19"/>
        <item x="72"/>
        <item x="0"/>
        <item x="89"/>
        <item x="11"/>
        <item x="38"/>
        <item x="77"/>
        <item x="50"/>
        <item x="85"/>
        <item x="61"/>
        <item x="24"/>
        <item x="17"/>
        <item x="37"/>
        <item x="76"/>
        <item x="47"/>
        <item x="30"/>
        <item x="43"/>
        <item x="115"/>
        <item x="65"/>
        <item x="29"/>
        <item x="21"/>
        <item x="35"/>
        <item x="121"/>
        <item x="84"/>
        <item x="31"/>
        <item x="32"/>
        <item x="110"/>
        <item x="53"/>
        <item x="33"/>
        <item x="16"/>
        <item x="5"/>
        <item x="44"/>
        <item x="73"/>
        <item x="79"/>
        <item x="87"/>
        <item x="1"/>
        <item x="10"/>
        <item x="42"/>
        <item x="97"/>
        <item x="7"/>
        <item x="99"/>
        <item x="20"/>
        <item x="104"/>
        <item x="88"/>
        <item x="67"/>
        <item x="66"/>
        <item x="91"/>
        <item x="117"/>
        <item t="default"/>
      </items>
    </pivotField>
    <pivotField showAll="0">
      <items count="4">
        <item x="0"/>
        <item x="1"/>
        <item x="2"/>
        <item t="default"/>
      </items>
    </pivotField>
    <pivotField showAll="0"/>
  </pivotFields>
  <rowFields count="1">
    <field x="3"/>
  </rowFields>
  <rowItems count="7">
    <i>
      <x/>
    </i>
    <i>
      <x v="1"/>
    </i>
    <i>
      <x v="2"/>
    </i>
    <i>
      <x v="3"/>
    </i>
    <i>
      <x v="4"/>
    </i>
    <i>
      <x v="5"/>
    </i>
    <i t="grand">
      <x/>
    </i>
  </rowItems>
  <colItems count="1">
    <i/>
  </colItems>
  <dataFields count="1">
    <dataField name="Total Order" fld="0" subtotal="count" baseField="3"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9CA1B8-E312-4A3D-AEA2-DB36020D7AF1}"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40:B46"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measureFilter="1" sortType="descending">
      <items count="12">
        <item x="3"/>
        <item x="9"/>
        <item x="8"/>
        <item x="4"/>
        <item x="10"/>
        <item x="5"/>
        <item x="0"/>
        <item x="7"/>
        <item x="2"/>
        <item x="6"/>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7">
        <item x="4"/>
        <item x="1"/>
        <item x="2"/>
        <item x="0"/>
        <item x="3"/>
        <item x="5"/>
        <item t="default"/>
      </items>
    </pivotField>
    <pivotField showAll="0"/>
    <pivotField showAll="0"/>
    <pivotField numFmtId="1" showAll="0"/>
    <pivotField numFmtId="164" showAll="0"/>
    <pivotField dataField="1" numFmtId="164" showAll="0"/>
    <pivotField numFmtId="14" showAll="0">
      <items count="123">
        <item x="46"/>
        <item x="40"/>
        <item x="15"/>
        <item x="69"/>
        <item x="109"/>
        <item x="23"/>
        <item x="56"/>
        <item x="58"/>
        <item x="75"/>
        <item x="4"/>
        <item x="2"/>
        <item x="60"/>
        <item x="54"/>
        <item x="70"/>
        <item x="52"/>
        <item x="111"/>
        <item x="51"/>
        <item x="86"/>
        <item x="118"/>
        <item x="82"/>
        <item x="48"/>
        <item x="103"/>
        <item x="62"/>
        <item x="14"/>
        <item x="112"/>
        <item x="92"/>
        <item x="90"/>
        <item x="12"/>
        <item x="80"/>
        <item x="63"/>
        <item x="83"/>
        <item x="64"/>
        <item x="74"/>
        <item x="101"/>
        <item x="114"/>
        <item x="93"/>
        <item x="27"/>
        <item x="26"/>
        <item x="39"/>
        <item x="100"/>
        <item x="120"/>
        <item x="105"/>
        <item x="96"/>
        <item x="13"/>
        <item x="49"/>
        <item x="106"/>
        <item x="57"/>
        <item x="6"/>
        <item x="25"/>
        <item x="102"/>
        <item x="41"/>
        <item x="36"/>
        <item x="55"/>
        <item x="28"/>
        <item x="45"/>
        <item x="9"/>
        <item x="22"/>
        <item x="113"/>
        <item x="94"/>
        <item x="34"/>
        <item x="107"/>
        <item x="18"/>
        <item x="98"/>
        <item x="71"/>
        <item x="116"/>
        <item x="78"/>
        <item x="119"/>
        <item x="59"/>
        <item x="95"/>
        <item x="3"/>
        <item x="81"/>
        <item x="68"/>
        <item x="8"/>
        <item x="108"/>
        <item x="19"/>
        <item x="72"/>
        <item x="0"/>
        <item x="89"/>
        <item x="11"/>
        <item x="38"/>
        <item x="77"/>
        <item x="50"/>
        <item x="85"/>
        <item x="61"/>
        <item x="24"/>
        <item x="17"/>
        <item x="37"/>
        <item x="76"/>
        <item x="47"/>
        <item x="30"/>
        <item x="43"/>
        <item x="115"/>
        <item x="65"/>
        <item x="29"/>
        <item x="21"/>
        <item x="35"/>
        <item x="121"/>
        <item x="84"/>
        <item x="31"/>
        <item x="32"/>
        <item x="110"/>
        <item x="53"/>
        <item x="33"/>
        <item x="16"/>
        <item x="5"/>
        <item x="44"/>
        <item x="73"/>
        <item x="79"/>
        <item x="87"/>
        <item x="1"/>
        <item x="10"/>
        <item x="42"/>
        <item x="97"/>
        <item x="7"/>
        <item x="99"/>
        <item x="20"/>
        <item x="104"/>
        <item x="88"/>
        <item x="67"/>
        <item x="66"/>
        <item x="91"/>
        <item x="117"/>
        <item t="default"/>
      </items>
    </pivotField>
    <pivotField showAll="0">
      <items count="4">
        <item x="0"/>
        <item x="1"/>
        <item x="2"/>
        <item t="default"/>
      </items>
    </pivotField>
    <pivotField showAll="0"/>
  </pivotFields>
  <rowFields count="1">
    <field x="1"/>
  </rowFields>
  <rowItems count="6">
    <i>
      <x v="2"/>
    </i>
    <i>
      <x v="1"/>
    </i>
    <i>
      <x v="4"/>
    </i>
    <i>
      <x v="8"/>
    </i>
    <i>
      <x v="5"/>
    </i>
    <i t="grand">
      <x/>
    </i>
  </rowItems>
  <colItems count="1">
    <i/>
  </colItems>
  <dataFields count="1">
    <dataField name="Sum of Total_Sales" fld="8" baseField="0" baseItem="0" numFmtId="164"/>
  </dataFields>
  <chartFormats count="10">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1"/>
          </reference>
        </references>
      </pivotArea>
    </chartFormat>
    <chartFormat chart="4" format="5">
      <pivotArea type="data" outline="0" fieldPosition="0">
        <references count="2">
          <reference field="4294967294" count="1" selected="0">
            <x v="0"/>
          </reference>
          <reference field="1" count="1" selected="0">
            <x v="4"/>
          </reference>
        </references>
      </pivotArea>
    </chartFormat>
    <chartFormat chart="4" format="6">
      <pivotArea type="data" outline="0" fieldPosition="0">
        <references count="2">
          <reference field="4294967294" count="1" selected="0">
            <x v="0"/>
          </reference>
          <reference field="1" count="1" selected="0">
            <x v="8"/>
          </reference>
        </references>
      </pivotArea>
    </chartFormat>
    <chartFormat chart="4" format="7">
      <pivotArea type="data" outline="0" fieldPosition="0">
        <references count="2">
          <reference field="4294967294" count="1" selected="0">
            <x v="0"/>
          </reference>
          <reference field="1" count="1" selected="0">
            <x v="5"/>
          </reference>
        </references>
      </pivotArea>
    </chartFormat>
    <chartFormat chart="4" format="8">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1F1310-34FB-4C11-B4D3-A6108C8D0DA0}"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56:B62" firstHeaderRow="1" firstDataRow="1" firstDataCol="1"/>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measureFilter="1" sortType="descending">
      <items count="12">
        <item x="3"/>
        <item x="9"/>
        <item x="8"/>
        <item x="4"/>
        <item x="10"/>
        <item x="5"/>
        <item x="0"/>
        <item x="7"/>
        <item x="2"/>
        <item x="6"/>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7">
        <item x="4"/>
        <item x="1"/>
        <item x="2"/>
        <item x="0"/>
        <item x="3"/>
        <item x="5"/>
        <item t="default"/>
      </items>
    </pivotField>
    <pivotField showAll="0"/>
    <pivotField showAll="0"/>
    <pivotField numFmtId="1" showAll="0"/>
    <pivotField numFmtId="164" showAll="0"/>
    <pivotField dataField="1" numFmtId="164" showAll="0"/>
    <pivotField numFmtId="14" showAll="0">
      <items count="123">
        <item x="46"/>
        <item x="40"/>
        <item x="15"/>
        <item x="69"/>
        <item x="109"/>
        <item x="23"/>
        <item x="56"/>
        <item x="58"/>
        <item x="75"/>
        <item x="4"/>
        <item x="2"/>
        <item x="60"/>
        <item x="54"/>
        <item x="70"/>
        <item x="52"/>
        <item x="111"/>
        <item x="51"/>
        <item x="86"/>
        <item x="118"/>
        <item x="82"/>
        <item x="48"/>
        <item x="103"/>
        <item x="62"/>
        <item x="14"/>
        <item x="112"/>
        <item x="92"/>
        <item x="90"/>
        <item x="12"/>
        <item x="80"/>
        <item x="63"/>
        <item x="83"/>
        <item x="64"/>
        <item x="74"/>
        <item x="101"/>
        <item x="114"/>
        <item x="93"/>
        <item x="27"/>
        <item x="26"/>
        <item x="39"/>
        <item x="100"/>
        <item x="120"/>
        <item x="105"/>
        <item x="96"/>
        <item x="13"/>
        <item x="49"/>
        <item x="106"/>
        <item x="57"/>
        <item x="6"/>
        <item x="25"/>
        <item x="102"/>
        <item x="41"/>
        <item x="36"/>
        <item x="55"/>
        <item x="28"/>
        <item x="45"/>
        <item x="9"/>
        <item x="22"/>
        <item x="113"/>
        <item x="94"/>
        <item x="34"/>
        <item x="107"/>
        <item x="18"/>
        <item x="98"/>
        <item x="71"/>
        <item x="116"/>
        <item x="78"/>
        <item x="119"/>
        <item x="59"/>
        <item x="95"/>
        <item x="3"/>
        <item x="81"/>
        <item x="68"/>
        <item x="8"/>
        <item x="108"/>
        <item x="19"/>
        <item x="72"/>
        <item x="0"/>
        <item x="89"/>
        <item x="11"/>
        <item x="38"/>
        <item x="77"/>
        <item x="50"/>
        <item x="85"/>
        <item x="61"/>
        <item x="24"/>
        <item x="17"/>
        <item x="37"/>
        <item x="76"/>
        <item x="47"/>
        <item x="30"/>
        <item x="43"/>
        <item x="115"/>
        <item x="65"/>
        <item x="29"/>
        <item x="21"/>
        <item x="35"/>
        <item x="121"/>
        <item x="84"/>
        <item x="31"/>
        <item x="32"/>
        <item x="110"/>
        <item x="53"/>
        <item x="33"/>
        <item x="16"/>
        <item x="5"/>
        <item x="44"/>
        <item x="73"/>
        <item x="79"/>
        <item x="87"/>
        <item x="1"/>
        <item x="10"/>
        <item x="42"/>
        <item x="97"/>
        <item x="7"/>
        <item x="99"/>
        <item x="20"/>
        <item x="104"/>
        <item x="88"/>
        <item x="67"/>
        <item x="66"/>
        <item x="91"/>
        <item x="117"/>
        <item t="default"/>
      </items>
    </pivotField>
    <pivotField showAll="0">
      <items count="4">
        <item x="0"/>
        <item x="1"/>
        <item x="2"/>
        <item t="default"/>
      </items>
    </pivotField>
    <pivotField axis="axisRow" showAll="0">
      <items count="6">
        <item x="4"/>
        <item x="2"/>
        <item x="1"/>
        <item x="3"/>
        <item x="0"/>
        <item t="default"/>
      </items>
    </pivotField>
  </pivotFields>
  <rowFields count="1">
    <field x="11"/>
  </rowFields>
  <rowItems count="6">
    <i>
      <x/>
    </i>
    <i>
      <x v="1"/>
    </i>
    <i>
      <x v="2"/>
    </i>
    <i>
      <x v="3"/>
    </i>
    <i>
      <x v="4"/>
    </i>
    <i t="grand">
      <x/>
    </i>
  </rowItems>
  <colItems count="1">
    <i/>
  </colItems>
  <dataFields count="1">
    <dataField name="Sum of Total_Sales" fld="8" baseField="0" baseItem="0" numFmtId="164"/>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C0E251-38DD-4B78-BAC2-BA0ADA59817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3">
        <item x="1"/>
        <item x="0"/>
        <item t="default"/>
      </items>
    </pivotField>
    <pivotField showAll="0"/>
    <pivotField showAll="0"/>
    <pivotField showAll="0"/>
    <pivotField numFmtId="1" showAll="0"/>
    <pivotField numFmtId="164" showAll="0"/>
    <pivotField dataField="1" numFmtId="164" showAll="0"/>
    <pivotField numFmtId="14" showAll="0">
      <items count="123">
        <item x="46"/>
        <item x="40"/>
        <item x="15"/>
        <item x="69"/>
        <item x="109"/>
        <item x="23"/>
        <item x="56"/>
        <item x="58"/>
        <item x="75"/>
        <item x="4"/>
        <item x="2"/>
        <item x="60"/>
        <item x="54"/>
        <item x="70"/>
        <item x="52"/>
        <item x="111"/>
        <item x="51"/>
        <item x="86"/>
        <item x="118"/>
        <item x="82"/>
        <item x="48"/>
        <item x="103"/>
        <item x="62"/>
        <item x="14"/>
        <item x="112"/>
        <item x="92"/>
        <item x="90"/>
        <item x="12"/>
        <item x="80"/>
        <item x="63"/>
        <item x="83"/>
        <item x="64"/>
        <item x="74"/>
        <item x="101"/>
        <item x="114"/>
        <item x="93"/>
        <item x="27"/>
        <item x="26"/>
        <item x="39"/>
        <item x="100"/>
        <item x="120"/>
        <item x="105"/>
        <item x="96"/>
        <item x="13"/>
        <item x="49"/>
        <item x="106"/>
        <item x="57"/>
        <item x="6"/>
        <item x="25"/>
        <item x="102"/>
        <item x="41"/>
        <item x="36"/>
        <item x="55"/>
        <item x="28"/>
        <item x="45"/>
        <item x="9"/>
        <item x="22"/>
        <item x="113"/>
        <item x="94"/>
        <item x="34"/>
        <item x="107"/>
        <item x="18"/>
        <item x="98"/>
        <item x="71"/>
        <item x="116"/>
        <item x="78"/>
        <item x="119"/>
        <item x="59"/>
        <item x="95"/>
        <item x="3"/>
        <item x="81"/>
        <item x="68"/>
        <item x="8"/>
        <item x="108"/>
        <item x="19"/>
        <item x="72"/>
        <item x="0"/>
        <item x="89"/>
        <item x="11"/>
        <item x="38"/>
        <item x="77"/>
        <item x="50"/>
        <item x="85"/>
        <item x="61"/>
        <item x="24"/>
        <item x="17"/>
        <item x="37"/>
        <item x="76"/>
        <item x="47"/>
        <item x="30"/>
        <item x="43"/>
        <item x="115"/>
        <item x="65"/>
        <item x="29"/>
        <item x="21"/>
        <item x="35"/>
        <item x="121"/>
        <item x="84"/>
        <item x="31"/>
        <item x="32"/>
        <item x="110"/>
        <item x="53"/>
        <item x="33"/>
        <item x="16"/>
        <item x="5"/>
        <item x="44"/>
        <item x="73"/>
        <item x="79"/>
        <item x="87"/>
        <item x="1"/>
        <item x="10"/>
        <item x="42"/>
        <item x="97"/>
        <item x="7"/>
        <item x="99"/>
        <item x="20"/>
        <item x="104"/>
        <item x="88"/>
        <item x="67"/>
        <item x="66"/>
        <item x="91"/>
        <item x="117"/>
        <item t="default"/>
      </items>
    </pivotField>
    <pivotField showAll="0">
      <items count="4">
        <item x="0"/>
        <item x="1"/>
        <item x="2"/>
        <item t="default"/>
      </items>
    </pivotField>
    <pivotField showAll="0"/>
  </pivotFields>
  <rowItems count="1">
    <i/>
  </rowItems>
  <colItems count="1">
    <i/>
  </colItems>
  <dataFields count="1">
    <dataField name="Total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64C320-73D2-4975-9C48-E03E4D8A995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2">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3">
        <item x="1"/>
        <item x="0"/>
        <item t="default"/>
      </items>
    </pivotField>
    <pivotField showAll="0"/>
    <pivotField showAll="0"/>
    <pivotField showAll="0"/>
    <pivotField numFmtId="1" showAll="0"/>
    <pivotField numFmtId="164" showAll="0"/>
    <pivotField numFmtId="164" showAll="0"/>
    <pivotField numFmtId="14" showAll="0">
      <items count="123">
        <item x="46"/>
        <item x="40"/>
        <item x="15"/>
        <item x="69"/>
        <item x="109"/>
        <item x="23"/>
        <item x="56"/>
        <item x="58"/>
        <item x="75"/>
        <item x="4"/>
        <item x="2"/>
        <item x="60"/>
        <item x="54"/>
        <item x="70"/>
        <item x="52"/>
        <item x="111"/>
        <item x="51"/>
        <item x="86"/>
        <item x="118"/>
        <item x="82"/>
        <item x="48"/>
        <item x="103"/>
        <item x="62"/>
        <item x="14"/>
        <item x="112"/>
        <item x="92"/>
        <item x="90"/>
        <item x="12"/>
        <item x="80"/>
        <item x="63"/>
        <item x="83"/>
        <item x="64"/>
        <item x="74"/>
        <item x="101"/>
        <item x="114"/>
        <item x="93"/>
        <item x="27"/>
        <item x="26"/>
        <item x="39"/>
        <item x="100"/>
        <item x="120"/>
        <item x="105"/>
        <item x="96"/>
        <item x="13"/>
        <item x="49"/>
        <item x="106"/>
        <item x="57"/>
        <item x="6"/>
        <item x="25"/>
        <item x="102"/>
        <item x="41"/>
        <item x="36"/>
        <item x="55"/>
        <item x="28"/>
        <item x="45"/>
        <item x="9"/>
        <item x="22"/>
        <item x="113"/>
        <item x="94"/>
        <item x="34"/>
        <item x="107"/>
        <item x="18"/>
        <item x="98"/>
        <item x="71"/>
        <item x="116"/>
        <item x="78"/>
        <item x="119"/>
        <item x="59"/>
        <item x="95"/>
        <item x="3"/>
        <item x="81"/>
        <item x="68"/>
        <item x="8"/>
        <item x="108"/>
        <item x="19"/>
        <item x="72"/>
        <item x="0"/>
        <item x="89"/>
        <item x="11"/>
        <item x="38"/>
        <item x="77"/>
        <item x="50"/>
        <item x="85"/>
        <item x="61"/>
        <item x="24"/>
        <item x="17"/>
        <item x="37"/>
        <item x="76"/>
        <item x="47"/>
        <item x="30"/>
        <item x="43"/>
        <item x="115"/>
        <item x="65"/>
        <item x="29"/>
        <item x="21"/>
        <item x="35"/>
        <item x="121"/>
        <item x="84"/>
        <item x="31"/>
        <item x="32"/>
        <item x="110"/>
        <item x="53"/>
        <item x="33"/>
        <item x="16"/>
        <item x="5"/>
        <item x="44"/>
        <item x="73"/>
        <item x="79"/>
        <item x="87"/>
        <item x="1"/>
        <item x="10"/>
        <item x="42"/>
        <item x="97"/>
        <item x="7"/>
        <item x="99"/>
        <item x="20"/>
        <item x="104"/>
        <item x="88"/>
        <item x="67"/>
        <item x="66"/>
        <item x="91"/>
        <item x="117"/>
        <item t="default"/>
      </items>
    </pivotField>
    <pivotField showAll="0">
      <items count="4">
        <item x="0"/>
        <item x="1"/>
        <item x="2"/>
        <item t="default"/>
      </items>
    </pivotField>
    <pivotField showAll="0"/>
  </pivotFields>
  <rowItems count="1">
    <i/>
  </rowItems>
  <colItems count="1">
    <i/>
  </colItems>
  <dataFields count="1">
    <dataField name="Total order Recieve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45B173-F27A-49F5-81B0-16DA4021B11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12">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items count="3">
        <item x="1"/>
        <item x="0"/>
        <item t="default"/>
      </items>
    </pivotField>
    <pivotField showAll="0"/>
    <pivotField showAll="0"/>
    <pivotField showAll="0"/>
    <pivotField dataField="1" numFmtId="1" showAll="0"/>
    <pivotField numFmtId="164" showAll="0"/>
    <pivotField numFmtId="164" showAll="0"/>
    <pivotField numFmtId="14" showAll="0">
      <items count="123">
        <item x="46"/>
        <item x="40"/>
        <item x="15"/>
        <item x="69"/>
        <item x="109"/>
        <item x="23"/>
        <item x="56"/>
        <item x="58"/>
        <item x="75"/>
        <item x="4"/>
        <item x="2"/>
        <item x="60"/>
        <item x="54"/>
        <item x="70"/>
        <item x="52"/>
        <item x="111"/>
        <item x="51"/>
        <item x="86"/>
        <item x="118"/>
        <item x="82"/>
        <item x="48"/>
        <item x="103"/>
        <item x="62"/>
        <item x="14"/>
        <item x="112"/>
        <item x="92"/>
        <item x="90"/>
        <item x="12"/>
        <item x="80"/>
        <item x="63"/>
        <item x="83"/>
        <item x="64"/>
        <item x="74"/>
        <item x="101"/>
        <item x="114"/>
        <item x="93"/>
        <item x="27"/>
        <item x="26"/>
        <item x="39"/>
        <item x="100"/>
        <item x="120"/>
        <item x="105"/>
        <item x="96"/>
        <item x="13"/>
        <item x="49"/>
        <item x="106"/>
        <item x="57"/>
        <item x="6"/>
        <item x="25"/>
        <item x="102"/>
        <item x="41"/>
        <item x="36"/>
        <item x="55"/>
        <item x="28"/>
        <item x="45"/>
        <item x="9"/>
        <item x="22"/>
        <item x="113"/>
        <item x="94"/>
        <item x="34"/>
        <item x="107"/>
        <item x="18"/>
        <item x="98"/>
        <item x="71"/>
        <item x="116"/>
        <item x="78"/>
        <item x="119"/>
        <item x="59"/>
        <item x="95"/>
        <item x="3"/>
        <item x="81"/>
        <item x="68"/>
        <item x="8"/>
        <item x="108"/>
        <item x="19"/>
        <item x="72"/>
        <item x="0"/>
        <item x="89"/>
        <item x="11"/>
        <item x="38"/>
        <item x="77"/>
        <item x="50"/>
        <item x="85"/>
        <item x="61"/>
        <item x="24"/>
        <item x="17"/>
        <item x="37"/>
        <item x="76"/>
        <item x="47"/>
        <item x="30"/>
        <item x="43"/>
        <item x="115"/>
        <item x="65"/>
        <item x="29"/>
        <item x="21"/>
        <item x="35"/>
        <item x="121"/>
        <item x="84"/>
        <item x="31"/>
        <item x="32"/>
        <item x="110"/>
        <item x="53"/>
        <item x="33"/>
        <item x="16"/>
        <item x="5"/>
        <item x="44"/>
        <item x="73"/>
        <item x="79"/>
        <item x="87"/>
        <item x="1"/>
        <item x="10"/>
        <item x="42"/>
        <item x="97"/>
        <item x="7"/>
        <item x="99"/>
        <item x="20"/>
        <item x="104"/>
        <item x="88"/>
        <item x="67"/>
        <item x="66"/>
        <item x="91"/>
        <item x="117"/>
        <item t="default"/>
      </items>
    </pivotField>
    <pivotField showAll="0">
      <items count="4">
        <item x="0"/>
        <item x="1"/>
        <item x="2"/>
        <item t="default"/>
      </items>
    </pivotField>
    <pivotField showAll="0"/>
  </pivotFields>
  <rowItems count="1">
    <i/>
  </rowItems>
  <colItems count="1">
    <i/>
  </colItems>
  <dataFields count="1">
    <dataField name="Total Quantity sold" fld="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610A45-7927-4DE3-A6FA-A3F90F68EC74}" name="PivotTable1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3">
    <pivotField dataField="1" showAll="0"/>
    <pivotField showAll="0"/>
    <pivotField showAll="0">
      <items count="3">
        <item h="1" x="1"/>
        <item x="0"/>
        <item t="default"/>
      </items>
    </pivotField>
    <pivotField showAll="0"/>
    <pivotField showAll="0"/>
    <pivotField showAll="0"/>
    <pivotField numFmtId="1" showAll="0"/>
    <pivotField numFmtId="165" showAll="0"/>
    <pivotField numFmtId="165" showAll="0"/>
    <pivotField numFmtId="14" showAll="0">
      <items count="123">
        <item x="46"/>
        <item x="40"/>
        <item x="15"/>
        <item x="69"/>
        <item x="109"/>
        <item x="23"/>
        <item x="56"/>
        <item x="58"/>
        <item x="75"/>
        <item x="4"/>
        <item x="2"/>
        <item x="60"/>
        <item x="54"/>
        <item x="70"/>
        <item x="52"/>
        <item x="111"/>
        <item x="51"/>
        <item x="86"/>
        <item x="118"/>
        <item x="82"/>
        <item x="48"/>
        <item x="103"/>
        <item x="62"/>
        <item x="14"/>
        <item x="112"/>
        <item x="92"/>
        <item x="90"/>
        <item x="12"/>
        <item x="80"/>
        <item x="63"/>
        <item x="83"/>
        <item x="64"/>
        <item x="74"/>
        <item x="101"/>
        <item x="114"/>
        <item x="93"/>
        <item x="27"/>
        <item x="26"/>
        <item x="39"/>
        <item x="100"/>
        <item x="120"/>
        <item x="105"/>
        <item x="96"/>
        <item x="13"/>
        <item x="49"/>
        <item x="106"/>
        <item x="57"/>
        <item x="6"/>
        <item x="25"/>
        <item x="102"/>
        <item x="41"/>
        <item x="36"/>
        <item x="55"/>
        <item x="28"/>
        <item x="45"/>
        <item x="9"/>
        <item x="22"/>
        <item x="113"/>
        <item x="94"/>
        <item x="34"/>
        <item x="107"/>
        <item x="18"/>
        <item x="98"/>
        <item x="71"/>
        <item x="116"/>
        <item x="78"/>
        <item x="119"/>
        <item x="59"/>
        <item x="95"/>
        <item x="3"/>
        <item x="81"/>
        <item x="68"/>
        <item x="8"/>
        <item x="108"/>
        <item x="19"/>
        <item x="72"/>
        <item x="0"/>
        <item x="89"/>
        <item x="11"/>
        <item x="38"/>
        <item x="77"/>
        <item x="50"/>
        <item x="85"/>
        <item x="61"/>
        <item x="24"/>
        <item x="17"/>
        <item x="37"/>
        <item x="76"/>
        <item x="47"/>
        <item x="30"/>
        <item x="43"/>
        <item x="115"/>
        <item x="65"/>
        <item x="29"/>
        <item x="21"/>
        <item x="35"/>
        <item x="121"/>
        <item x="84"/>
        <item x="31"/>
        <item x="32"/>
        <item x="110"/>
        <item x="53"/>
        <item x="33"/>
        <item x="16"/>
        <item x="5"/>
        <item x="44"/>
        <item x="73"/>
        <item x="79"/>
        <item x="87"/>
        <item x="1"/>
        <item x="10"/>
        <item x="42"/>
        <item x="97"/>
        <item x="7"/>
        <item x="99"/>
        <item x="20"/>
        <item x="104"/>
        <item x="88"/>
        <item x="67"/>
        <item x="66"/>
        <item x="91"/>
        <item x="117"/>
        <item t="default"/>
      </items>
    </pivotField>
    <pivotField showAll="0"/>
    <pivotField showAll="0"/>
    <pivotField showAll="0"/>
  </pivotFields>
  <rowItems count="1">
    <i/>
  </rowItems>
  <colItems count="1">
    <i/>
  </colItems>
  <dataFields count="1">
    <dataField name="Total Order Recieved" fld="0" subtotal="count" baseField="0" baseItem="0"/>
  </dataFields>
  <pivotTableStyleInfo name="PivotStyleLight16" showRowHeaders="1" showColHeaders="1" showRowStripes="0" showColStripes="0" showLastColumn="1"/>
  <filters count="1">
    <filter fld="9" type="dateBetween" evalOrder="-1" id="11" name="Order_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5208D7-AF25-4124-9113-DADA12DF6022}" name="PivotTable1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13">
    <pivotField showAll="0"/>
    <pivotField showAll="0"/>
    <pivotField showAll="0">
      <items count="3">
        <item h="1" x="1"/>
        <item x="0"/>
        <item t="default"/>
      </items>
    </pivotField>
    <pivotField showAll="0"/>
    <pivotField showAll="0"/>
    <pivotField showAll="0"/>
    <pivotField dataField="1" numFmtId="1" showAll="0"/>
    <pivotField numFmtId="165" showAll="0"/>
    <pivotField numFmtId="165" showAll="0"/>
    <pivotField numFmtId="14" showAll="0">
      <items count="123">
        <item x="46"/>
        <item x="40"/>
        <item x="15"/>
        <item x="69"/>
        <item x="109"/>
        <item x="23"/>
        <item x="56"/>
        <item x="58"/>
        <item x="75"/>
        <item x="4"/>
        <item x="2"/>
        <item x="60"/>
        <item x="54"/>
        <item x="70"/>
        <item x="52"/>
        <item x="111"/>
        <item x="51"/>
        <item x="86"/>
        <item x="118"/>
        <item x="82"/>
        <item x="48"/>
        <item x="103"/>
        <item x="62"/>
        <item x="14"/>
        <item x="112"/>
        <item x="92"/>
        <item x="90"/>
        <item x="12"/>
        <item x="80"/>
        <item x="63"/>
        <item x="83"/>
        <item x="64"/>
        <item x="74"/>
        <item x="101"/>
        <item x="114"/>
        <item x="93"/>
        <item x="27"/>
        <item x="26"/>
        <item x="39"/>
        <item x="100"/>
        <item x="120"/>
        <item x="105"/>
        <item x="96"/>
        <item x="13"/>
        <item x="49"/>
        <item x="106"/>
        <item x="57"/>
        <item x="6"/>
        <item x="25"/>
        <item x="102"/>
        <item x="41"/>
        <item x="36"/>
        <item x="55"/>
        <item x="28"/>
        <item x="45"/>
        <item x="9"/>
        <item x="22"/>
        <item x="113"/>
        <item x="94"/>
        <item x="34"/>
        <item x="107"/>
        <item x="18"/>
        <item x="98"/>
        <item x="71"/>
        <item x="116"/>
        <item x="78"/>
        <item x="119"/>
        <item x="59"/>
        <item x="95"/>
        <item x="3"/>
        <item x="81"/>
        <item x="68"/>
        <item x="8"/>
        <item x="108"/>
        <item x="19"/>
        <item x="72"/>
        <item x="0"/>
        <item x="89"/>
        <item x="11"/>
        <item x="38"/>
        <item x="77"/>
        <item x="50"/>
        <item x="85"/>
        <item x="61"/>
        <item x="24"/>
        <item x="17"/>
        <item x="37"/>
        <item x="76"/>
        <item x="47"/>
        <item x="30"/>
        <item x="43"/>
        <item x="115"/>
        <item x="65"/>
        <item x="29"/>
        <item x="21"/>
        <item x="35"/>
        <item x="121"/>
        <item x="84"/>
        <item x="31"/>
        <item x="32"/>
        <item x="110"/>
        <item x="53"/>
        <item x="33"/>
        <item x="16"/>
        <item x="5"/>
        <item x="44"/>
        <item x="73"/>
        <item x="79"/>
        <item x="87"/>
        <item x="1"/>
        <item x="10"/>
        <item x="42"/>
        <item x="97"/>
        <item x="7"/>
        <item x="99"/>
        <item x="20"/>
        <item x="104"/>
        <item x="88"/>
        <item x="67"/>
        <item x="66"/>
        <item x="91"/>
        <item x="117"/>
        <item t="default"/>
      </items>
    </pivotField>
    <pivotField showAll="0"/>
    <pivotField showAll="0">
      <items count="4">
        <item h="1" x="0"/>
        <item x="1"/>
        <item h="1" x="2"/>
        <item t="default"/>
      </items>
    </pivotField>
    <pivotField showAll="0"/>
  </pivotFields>
  <rowItems count="1">
    <i/>
  </rowItems>
  <colItems count="1">
    <i/>
  </colItems>
  <dataFields count="1">
    <dataField name="Total Quantity Sold" fld="6" baseField="0" baseItem="0" numFmtId="1"/>
  </dataFields>
  <pivotTableStyleInfo name="PivotStyleLight16" showRowHeaders="1" showColHeaders="1" showRowStripes="0" showColStripes="0" showLastColumn="1"/>
  <filters count="1">
    <filter fld="9" type="dateBetween" evalOrder="-1" id="11" name="Order_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A587D1-F2BA-4E1E-9A89-9312B46E526D}" name="PivotTable1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24:B25" firstHeaderRow="1" firstDataRow="1" firstDataCol="1"/>
  <pivotFields count="13">
    <pivotField showAll="0"/>
    <pivotField showAll="0"/>
    <pivotField showAll="0">
      <items count="3">
        <item h="1" x="1"/>
        <item x="0"/>
        <item t="default"/>
      </items>
    </pivotField>
    <pivotField axis="axisRow" showAll="0">
      <items count="7">
        <item x="4"/>
        <item x="1"/>
        <item x="2"/>
        <item x="0"/>
        <item h="1" x="3"/>
        <item x="5"/>
        <item t="default"/>
      </items>
    </pivotField>
    <pivotField showAll="0"/>
    <pivotField showAll="0"/>
    <pivotField numFmtId="1" showAll="0"/>
    <pivotField numFmtId="165" showAll="0"/>
    <pivotField dataField="1" numFmtId="165" showAll="0"/>
    <pivotField numFmtId="14" showAll="0">
      <items count="123">
        <item x="46"/>
        <item x="40"/>
        <item x="15"/>
        <item x="69"/>
        <item x="109"/>
        <item x="23"/>
        <item x="56"/>
        <item x="58"/>
        <item x="75"/>
        <item x="4"/>
        <item x="2"/>
        <item x="60"/>
        <item x="54"/>
        <item x="70"/>
        <item x="52"/>
        <item x="111"/>
        <item x="51"/>
        <item x="86"/>
        <item x="118"/>
        <item x="82"/>
        <item x="48"/>
        <item x="103"/>
        <item x="62"/>
        <item x="14"/>
        <item x="112"/>
        <item x="92"/>
        <item x="90"/>
        <item x="12"/>
        <item x="80"/>
        <item x="63"/>
        <item x="83"/>
        <item x="64"/>
        <item x="74"/>
        <item x="101"/>
        <item x="114"/>
        <item x="93"/>
        <item x="27"/>
        <item x="26"/>
        <item x="39"/>
        <item x="100"/>
        <item x="120"/>
        <item x="105"/>
        <item x="96"/>
        <item x="13"/>
        <item x="49"/>
        <item x="106"/>
        <item x="57"/>
        <item x="6"/>
        <item x="25"/>
        <item x="102"/>
        <item x="41"/>
        <item x="36"/>
        <item x="55"/>
        <item x="28"/>
        <item x="45"/>
        <item x="9"/>
        <item x="22"/>
        <item x="113"/>
        <item x="94"/>
        <item x="34"/>
        <item x="107"/>
        <item x="18"/>
        <item x="98"/>
        <item x="71"/>
        <item x="116"/>
        <item x="78"/>
        <item x="119"/>
        <item x="59"/>
        <item x="95"/>
        <item x="3"/>
        <item x="81"/>
        <item x="68"/>
        <item x="8"/>
        <item x="108"/>
        <item x="19"/>
        <item x="72"/>
        <item x="0"/>
        <item x="89"/>
        <item x="11"/>
        <item x="38"/>
        <item x="77"/>
        <item x="50"/>
        <item x="85"/>
        <item x="61"/>
        <item x="24"/>
        <item x="17"/>
        <item x="37"/>
        <item x="76"/>
        <item x="47"/>
        <item x="30"/>
        <item x="43"/>
        <item x="115"/>
        <item x="65"/>
        <item x="29"/>
        <item x="21"/>
        <item x="35"/>
        <item x="121"/>
        <item x="84"/>
        <item x="31"/>
        <item x="32"/>
        <item x="110"/>
        <item x="53"/>
        <item x="33"/>
        <item x="16"/>
        <item x="5"/>
        <item x="44"/>
        <item x="73"/>
        <item x="79"/>
        <item x="87"/>
        <item x="1"/>
        <item x="10"/>
        <item x="42"/>
        <item x="97"/>
        <item x="7"/>
        <item x="99"/>
        <item x="20"/>
        <item x="104"/>
        <item x="88"/>
        <item x="67"/>
        <item x="66"/>
        <item x="91"/>
        <item x="117"/>
        <item t="default"/>
      </items>
    </pivotField>
    <pivotField showAll="0"/>
    <pivotField showAll="0">
      <items count="4">
        <item h="1" x="0"/>
        <item x="1"/>
        <item h="1" x="2"/>
        <item t="default"/>
      </items>
    </pivotField>
    <pivotField showAll="0"/>
  </pivotFields>
  <rowFields count="1">
    <field x="3"/>
  </rowFields>
  <rowItems count="1">
    <i t="grand">
      <x/>
    </i>
  </rowItems>
  <colItems count="1">
    <i/>
  </colItems>
  <dataFields count="1">
    <dataField name="Total Sales" fld="8" baseField="10" baseItem="0" numFmtId="165"/>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1" name="Order_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10FCC5-B624-458A-BE88-BD585B8284B0}" name="PivotTable1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7:B8" firstHeaderRow="1" firstDataRow="1" firstDataCol="1"/>
  <pivotFields count="13">
    <pivotField showAll="0"/>
    <pivotField showAll="0"/>
    <pivotField showAll="0">
      <items count="3">
        <item h="1" x="1"/>
        <item x="0"/>
        <item t="default"/>
      </items>
    </pivotField>
    <pivotField showAll="0"/>
    <pivotField showAll="0"/>
    <pivotField showAll="0"/>
    <pivotField numFmtId="1" showAll="0"/>
    <pivotField numFmtId="165" showAll="0"/>
    <pivotField dataField="1" numFmtId="165" showAll="0"/>
    <pivotField numFmtId="14" showAll="0">
      <items count="123">
        <item x="46"/>
        <item x="40"/>
        <item x="15"/>
        <item x="69"/>
        <item x="109"/>
        <item x="23"/>
        <item x="56"/>
        <item x="58"/>
        <item x="75"/>
        <item x="4"/>
        <item x="2"/>
        <item x="60"/>
        <item x="54"/>
        <item x="70"/>
        <item x="52"/>
        <item x="111"/>
        <item x="51"/>
        <item x="86"/>
        <item x="118"/>
        <item x="82"/>
        <item x="48"/>
        <item x="103"/>
        <item x="62"/>
        <item x="14"/>
        <item x="112"/>
        <item x="92"/>
        <item x="90"/>
        <item x="12"/>
        <item x="80"/>
        <item x="63"/>
        <item x="83"/>
        <item x="64"/>
        <item x="74"/>
        <item x="101"/>
        <item x="114"/>
        <item x="93"/>
        <item x="27"/>
        <item x="26"/>
        <item x="39"/>
        <item x="100"/>
        <item x="120"/>
        <item x="105"/>
        <item x="96"/>
        <item x="13"/>
        <item x="49"/>
        <item x="106"/>
        <item x="57"/>
        <item x="6"/>
        <item x="25"/>
        <item x="102"/>
        <item x="41"/>
        <item x="36"/>
        <item x="55"/>
        <item x="28"/>
        <item x="45"/>
        <item x="9"/>
        <item x="22"/>
        <item x="113"/>
        <item x="94"/>
        <item x="34"/>
        <item x="107"/>
        <item x="18"/>
        <item x="98"/>
        <item x="71"/>
        <item x="116"/>
        <item x="78"/>
        <item x="119"/>
        <item x="59"/>
        <item x="95"/>
        <item x="3"/>
        <item x="81"/>
        <item x="68"/>
        <item x="8"/>
        <item x="108"/>
        <item x="19"/>
        <item x="72"/>
        <item x="0"/>
        <item x="89"/>
        <item x="11"/>
        <item x="38"/>
        <item x="77"/>
        <item x="50"/>
        <item x="85"/>
        <item x="61"/>
        <item x="24"/>
        <item x="17"/>
        <item x="37"/>
        <item x="76"/>
        <item x="47"/>
        <item x="30"/>
        <item x="43"/>
        <item x="115"/>
        <item x="65"/>
        <item x="29"/>
        <item x="21"/>
        <item x="35"/>
        <item x="121"/>
        <item x="84"/>
        <item x="31"/>
        <item x="32"/>
        <item x="110"/>
        <item x="53"/>
        <item x="33"/>
        <item x="16"/>
        <item x="5"/>
        <item x="44"/>
        <item x="73"/>
        <item x="79"/>
        <item x="87"/>
        <item x="1"/>
        <item x="10"/>
        <item x="42"/>
        <item x="97"/>
        <item x="7"/>
        <item x="99"/>
        <item x="20"/>
        <item x="104"/>
        <item x="88"/>
        <item x="67"/>
        <item x="66"/>
        <item x="91"/>
        <item x="117"/>
        <item t="default"/>
      </items>
    </pivotField>
    <pivotField axis="axisRow" showAll="0">
      <items count="13">
        <item x="7"/>
        <item x="2"/>
        <item x="11"/>
        <item x="6"/>
        <item x="3"/>
        <item x="4"/>
        <item x="9"/>
        <item x="0"/>
        <item x="5"/>
        <item x="8"/>
        <item x="1"/>
        <item x="10"/>
        <item t="default"/>
      </items>
    </pivotField>
    <pivotField showAll="0">
      <items count="4">
        <item h="1" x="0"/>
        <item x="1"/>
        <item h="1" x="2"/>
        <item t="default"/>
      </items>
    </pivotField>
    <pivotField showAll="0"/>
  </pivotFields>
  <rowFields count="1">
    <field x="10"/>
  </rowFields>
  <rowItems count="1">
    <i t="grand">
      <x/>
    </i>
  </rowItems>
  <colItems count="1">
    <i/>
  </colItems>
  <dataFields count="1">
    <dataField name="Total Sales" fld="8" baseField="1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dateBetween" evalOrder="-1" id="11" name="Order_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604433-C481-4823-9A0F-27B743F231A6}"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9:B43" firstHeaderRow="1" firstDataRow="1" firstDataCol="1"/>
  <pivotFields count="13">
    <pivotField showAll="0"/>
    <pivotField showAll="0"/>
    <pivotField showAll="0">
      <items count="3">
        <item h="1" x="1"/>
        <item x="0"/>
        <item t="default"/>
      </items>
    </pivotField>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numFmtId="1" showAll="0"/>
    <pivotField numFmtId="165" showAll="0"/>
    <pivotField dataField="1" numFmtId="165" showAll="0"/>
    <pivotField numFmtId="14" showAll="0">
      <items count="123">
        <item x="46"/>
        <item x="40"/>
        <item x="15"/>
        <item x="69"/>
        <item x="109"/>
        <item x="23"/>
        <item x="56"/>
        <item x="58"/>
        <item x="75"/>
        <item x="4"/>
        <item x="2"/>
        <item x="60"/>
        <item x="54"/>
        <item x="70"/>
        <item x="52"/>
        <item x="111"/>
        <item x="51"/>
        <item x="86"/>
        <item x="118"/>
        <item x="82"/>
        <item x="48"/>
        <item x="103"/>
        <item x="62"/>
        <item x="14"/>
        <item x="112"/>
        <item x="92"/>
        <item x="90"/>
        <item x="12"/>
        <item x="80"/>
        <item x="63"/>
        <item x="83"/>
        <item x="64"/>
        <item x="74"/>
        <item x="101"/>
        <item x="114"/>
        <item x="93"/>
        <item x="27"/>
        <item x="26"/>
        <item x="39"/>
        <item x="100"/>
        <item x="120"/>
        <item x="105"/>
        <item x="96"/>
        <item x="13"/>
        <item x="49"/>
        <item x="106"/>
        <item x="57"/>
        <item x="6"/>
        <item x="25"/>
        <item x="102"/>
        <item x="41"/>
        <item x="36"/>
        <item x="55"/>
        <item x="28"/>
        <item x="45"/>
        <item x="9"/>
        <item x="22"/>
        <item x="113"/>
        <item x="94"/>
        <item x="34"/>
        <item x="107"/>
        <item x="18"/>
        <item x="98"/>
        <item x="71"/>
        <item x="116"/>
        <item x="78"/>
        <item x="119"/>
        <item x="59"/>
        <item x="95"/>
        <item x="3"/>
        <item x="81"/>
        <item x="68"/>
        <item x="8"/>
        <item x="108"/>
        <item x="19"/>
        <item x="72"/>
        <item x="0"/>
        <item x="89"/>
        <item x="11"/>
        <item x="38"/>
        <item x="77"/>
        <item x="50"/>
        <item x="85"/>
        <item x="61"/>
        <item x="24"/>
        <item x="17"/>
        <item x="37"/>
        <item x="76"/>
        <item x="47"/>
        <item x="30"/>
        <item x="43"/>
        <item x="115"/>
        <item x="65"/>
        <item x="29"/>
        <item x="21"/>
        <item x="35"/>
        <item x="121"/>
        <item x="84"/>
        <item x="31"/>
        <item x="32"/>
        <item x="110"/>
        <item x="53"/>
        <item x="33"/>
        <item x="16"/>
        <item x="5"/>
        <item x="44"/>
        <item x="73"/>
        <item x="79"/>
        <item x="87"/>
        <item x="1"/>
        <item x="10"/>
        <item x="42"/>
        <item x="97"/>
        <item x="7"/>
        <item x="99"/>
        <item x="20"/>
        <item x="104"/>
        <item x="88"/>
        <item x="67"/>
        <item x="66"/>
        <item x="91"/>
        <item x="117"/>
        <item t="default"/>
      </items>
    </pivotField>
    <pivotField showAll="0"/>
    <pivotField showAll="0"/>
    <pivotField showAll="0"/>
  </pivotFields>
  <rowFields count="1">
    <field x="4"/>
  </rowFields>
  <rowItems count="4">
    <i>
      <x/>
    </i>
    <i>
      <x v="3"/>
    </i>
    <i>
      <x v="1"/>
    </i>
    <i t="grand">
      <x/>
    </i>
  </rowItems>
  <colItems count="1">
    <i/>
  </colItems>
  <dataFields count="1">
    <dataField name="Total Sales" fld="8" baseField="10" baseItem="0" numFmtId="165"/>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2"/>
          </reference>
        </references>
      </pivotArea>
    </chartFormat>
    <chartFormat chart="5" format="4">
      <pivotArea type="data" outline="0" fieldPosition="0">
        <references count="2">
          <reference field="4294967294" count="1" selected="0">
            <x v="0"/>
          </reference>
          <reference field="4" count="1" selected="0">
            <x v="1"/>
          </reference>
        </references>
      </pivotArea>
    </chartFormat>
    <chartFormat chart="5" format="5">
      <pivotArea type="data" outline="0" fieldPosition="0">
        <references count="2">
          <reference field="4294967294" count="1" selected="0">
            <x v="0"/>
          </reference>
          <reference field="4" count="1" selected="0">
            <x v="3"/>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filters count="1">
    <filter fld="9" type="dateBetween" evalOrder="-1" id="11" name="Order_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AB4EA6-8A8B-42C7-8586-F8C040881759}"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13">
    <pivotField showAll="0"/>
    <pivotField showAll="0"/>
    <pivotField showAll="0">
      <items count="3">
        <item h="1" x="1"/>
        <item x="0"/>
        <item t="default"/>
      </items>
    </pivotField>
    <pivotField showAll="0"/>
    <pivotField showAll="0"/>
    <pivotField showAll="0"/>
    <pivotField numFmtId="1" showAll="0"/>
    <pivotField numFmtId="165" showAll="0"/>
    <pivotField dataField="1" numFmtId="165" showAll="0"/>
    <pivotField numFmtId="14" showAll="0">
      <items count="123">
        <item x="46"/>
        <item x="40"/>
        <item x="15"/>
        <item x="69"/>
        <item x="109"/>
        <item x="23"/>
        <item x="56"/>
        <item x="58"/>
        <item x="75"/>
        <item x="4"/>
        <item x="2"/>
        <item x="60"/>
        <item x="54"/>
        <item x="70"/>
        <item x="52"/>
        <item x="111"/>
        <item x="51"/>
        <item x="86"/>
        <item x="118"/>
        <item x="82"/>
        <item x="48"/>
        <item x="103"/>
        <item x="62"/>
        <item x="14"/>
        <item x="112"/>
        <item x="92"/>
        <item x="90"/>
        <item x="12"/>
        <item x="80"/>
        <item x="63"/>
        <item x="83"/>
        <item x="64"/>
        <item x="74"/>
        <item x="101"/>
        <item x="114"/>
        <item x="93"/>
        <item x="27"/>
        <item x="26"/>
        <item x="39"/>
        <item x="100"/>
        <item x="120"/>
        <item x="105"/>
        <item x="96"/>
        <item x="13"/>
        <item x="49"/>
        <item x="106"/>
        <item x="57"/>
        <item x="6"/>
        <item x="25"/>
        <item x="102"/>
        <item x="41"/>
        <item x="36"/>
        <item x="55"/>
        <item x="28"/>
        <item x="45"/>
        <item x="9"/>
        <item x="22"/>
        <item x="113"/>
        <item x="94"/>
        <item x="34"/>
        <item x="107"/>
        <item x="18"/>
        <item x="98"/>
        <item x="71"/>
        <item x="116"/>
        <item x="78"/>
        <item x="119"/>
        <item x="59"/>
        <item x="95"/>
        <item x="3"/>
        <item x="81"/>
        <item x="68"/>
        <item x="8"/>
        <item x="108"/>
        <item x="19"/>
        <item x="72"/>
        <item x="0"/>
        <item x="89"/>
        <item x="11"/>
        <item x="38"/>
        <item x="77"/>
        <item x="50"/>
        <item x="85"/>
        <item x="61"/>
        <item x="24"/>
        <item x="17"/>
        <item x="37"/>
        <item x="76"/>
        <item x="47"/>
        <item x="30"/>
        <item x="43"/>
        <item x="115"/>
        <item x="65"/>
        <item x="29"/>
        <item x="21"/>
        <item x="35"/>
        <item x="121"/>
        <item x="84"/>
        <item x="31"/>
        <item x="32"/>
        <item x="110"/>
        <item x="53"/>
        <item x="33"/>
        <item x="16"/>
        <item x="5"/>
        <item x="44"/>
        <item x="73"/>
        <item x="79"/>
        <item x="87"/>
        <item x="1"/>
        <item x="10"/>
        <item x="42"/>
        <item x="97"/>
        <item x="7"/>
        <item x="99"/>
        <item x="20"/>
        <item x="104"/>
        <item x="88"/>
        <item x="67"/>
        <item x="66"/>
        <item x="91"/>
        <item x="117"/>
        <item t="default"/>
      </items>
    </pivotField>
    <pivotField showAll="0"/>
    <pivotField showAll="0"/>
    <pivotField showAll="0"/>
  </pivotFields>
  <rowItems count="1">
    <i/>
  </rowItems>
  <colItems count="1">
    <i/>
  </colItems>
  <dataFields count="1">
    <dataField name="Total Revenue Generated" fld="8" baseField="0" baseItem="0" numFmtId="165"/>
  </dataFields>
  <pivotTableStyleInfo name="PivotStyleLight16" showRowHeaders="1" showColHeaders="1" showRowStripes="0" showColStripes="0" showLastColumn="1"/>
  <filters count="1">
    <filter fld="9" type="dateBetween" evalOrder="-1" id="11" name="Order_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9A755E-537E-49E1-958B-7D49655839B0}"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55:B56" firstHeaderRow="1" firstDataRow="1" firstDataCol="1"/>
  <pivotFields count="13">
    <pivotField showAll="0"/>
    <pivotField showAll="0"/>
    <pivotField showAll="0">
      <items count="3">
        <item h="1" x="1"/>
        <item x="0"/>
        <item t="default"/>
      </items>
    </pivotField>
    <pivotField showAll="0"/>
    <pivotField showAll="0"/>
    <pivotField axis="axisRow" showAll="0" measureFilter="1" sortType="descending">
      <items count="13">
        <item x="10"/>
        <item x="7"/>
        <item x="3"/>
        <item x="8"/>
        <item x="6"/>
        <item x="9"/>
        <item x="1"/>
        <item x="4"/>
        <item x="2"/>
        <item x="5"/>
        <item x="0"/>
        <item x="11"/>
        <item t="default"/>
      </items>
      <autoSortScope>
        <pivotArea dataOnly="0" outline="0" fieldPosition="0">
          <references count="1">
            <reference field="4294967294" count="1" selected="0">
              <x v="0"/>
            </reference>
          </references>
        </pivotArea>
      </autoSortScope>
    </pivotField>
    <pivotField numFmtId="1" showAll="0"/>
    <pivotField numFmtId="165" showAll="0"/>
    <pivotField dataField="1" numFmtId="165" showAll="0"/>
    <pivotField numFmtId="14" showAll="0">
      <items count="123">
        <item x="46"/>
        <item x="40"/>
        <item x="15"/>
        <item x="69"/>
        <item x="109"/>
        <item x="23"/>
        <item x="56"/>
        <item x="58"/>
        <item x="75"/>
        <item x="4"/>
        <item x="2"/>
        <item x="60"/>
        <item x="54"/>
        <item x="70"/>
        <item x="52"/>
        <item x="111"/>
        <item x="51"/>
        <item x="86"/>
        <item x="118"/>
        <item x="82"/>
        <item x="48"/>
        <item x="103"/>
        <item x="62"/>
        <item x="14"/>
        <item x="112"/>
        <item x="92"/>
        <item x="90"/>
        <item x="12"/>
        <item x="80"/>
        <item x="63"/>
        <item x="83"/>
        <item x="64"/>
        <item x="74"/>
        <item x="101"/>
        <item x="114"/>
        <item x="93"/>
        <item x="27"/>
        <item x="26"/>
        <item x="39"/>
        <item x="100"/>
        <item x="120"/>
        <item x="105"/>
        <item x="96"/>
        <item x="13"/>
        <item x="49"/>
        <item x="106"/>
        <item x="57"/>
        <item x="6"/>
        <item x="25"/>
        <item x="102"/>
        <item x="41"/>
        <item x="36"/>
        <item x="55"/>
        <item x="28"/>
        <item x="45"/>
        <item x="9"/>
        <item x="22"/>
        <item x="113"/>
        <item x="94"/>
        <item x="34"/>
        <item x="107"/>
        <item x="18"/>
        <item x="98"/>
        <item x="71"/>
        <item x="116"/>
        <item x="78"/>
        <item x="119"/>
        <item x="59"/>
        <item x="95"/>
        <item x="3"/>
        <item x="81"/>
        <item x="68"/>
        <item x="8"/>
        <item x="108"/>
        <item x="19"/>
        <item x="72"/>
        <item x="0"/>
        <item x="89"/>
        <item x="11"/>
        <item x="38"/>
        <item x="77"/>
        <item x="50"/>
        <item x="85"/>
        <item x="61"/>
        <item x="24"/>
        <item x="17"/>
        <item x="37"/>
        <item x="76"/>
        <item x="47"/>
        <item x="30"/>
        <item x="43"/>
        <item x="115"/>
        <item x="65"/>
        <item x="29"/>
        <item x="21"/>
        <item x="35"/>
        <item x="121"/>
        <item x="84"/>
        <item x="31"/>
        <item x="32"/>
        <item x="110"/>
        <item x="53"/>
        <item x="33"/>
        <item x="16"/>
        <item x="5"/>
        <item x="44"/>
        <item x="73"/>
        <item x="79"/>
        <item x="87"/>
        <item x="1"/>
        <item x="10"/>
        <item x="42"/>
        <item x="97"/>
        <item x="7"/>
        <item x="99"/>
        <item x="20"/>
        <item x="104"/>
        <item x="88"/>
        <item x="67"/>
        <item x="66"/>
        <item x="91"/>
        <item x="117"/>
        <item t="default"/>
      </items>
    </pivotField>
    <pivotField showAll="0"/>
    <pivotField showAll="0">
      <items count="4">
        <item h="1" x="0"/>
        <item x="1"/>
        <item h="1" x="2"/>
        <item t="default"/>
      </items>
    </pivotField>
    <pivotField showAll="0"/>
  </pivotFields>
  <rowFields count="1">
    <field x="5"/>
  </rowFields>
  <rowItems count="1">
    <i t="grand">
      <x/>
    </i>
  </rowItems>
  <colItems count="1">
    <i/>
  </colItems>
  <dataFields count="1">
    <dataField name="Total Sales" fld="8" baseField="10" baseItem="0" numFmtId="165"/>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dateBetween" evalOrder="-1" id="13" name="Order_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5B0D328-66D8-4330-A4DB-92B9135C811F}" sourceName="Gender">
  <pivotTables>
    <pivotTable tabId="10" name="PivotTable2"/>
    <pivotTable tabId="10" name="PivotTable1"/>
    <pivotTable tabId="10" name="PivotTable12"/>
    <pivotTable tabId="10" name="PivotTable13"/>
    <pivotTable tabId="10" name="PivotTable14"/>
    <pivotTable tabId="10" name="PivotTable15"/>
    <pivotTable tabId="10" name="PivotTable16"/>
  </pivotTables>
  <data>
    <tabular pivotCacheId="1761752706">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2BF3068-6094-4F1A-A530-B9933C156C1C}" sourceName="Payment_Method">
  <pivotTables>
    <pivotTable tabId="10" name="PivotTable2"/>
    <pivotTable tabId="10" name="PivotTable14"/>
    <pivotTable tabId="10" name="PivotTable15"/>
    <pivotTable tabId="10" name="PivotTable16"/>
  </pivotTables>
  <data>
    <tabular pivotCacheId="1761752706">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49B3AAE9-7035-4FFE-A044-D7740C78B975}" sourceName="Gender">
  <pivotTables>
    <pivotTable tabId="15" name="PivotTable8"/>
    <pivotTable tabId="15" name="PivotTable1"/>
    <pivotTable tabId="15" name="PivotTable2"/>
    <pivotTable tabId="15" name="PivotTable3"/>
    <pivotTable tabId="15" name="PivotTable4"/>
    <pivotTable tabId="15" name="PivotTable6"/>
    <pivotTable tabId="15" name="PivotTable7"/>
  </pivotTables>
  <data>
    <tabular pivotCacheId="27705274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2" xr10:uid="{127B0951-A8FF-4C42-82AB-B1678E2DB446}" sourceName="Payment_Method">
  <pivotTables>
    <pivotTable tabId="15" name="PivotTable8"/>
    <pivotTable tabId="15" name="PivotTable1"/>
    <pivotTable tabId="15" name="PivotTable2"/>
    <pivotTable tabId="15" name="PivotTable3"/>
    <pivotTable tabId="15" name="PivotTable4"/>
    <pivotTable tabId="15" name="PivotTable6"/>
    <pivotTable tabId="15" name="PivotTable7"/>
  </pivotTables>
  <data>
    <tabular pivotCacheId="27705274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8926CFF4-F5A7-4C59-B35C-8590AD737D45}" cache="Slicer_Gender2" caption="Gender" columnCount="2" rowHeight="241300"/>
  <slicer name="Payment_Method 3" xr10:uid="{B8D156AF-1F50-4D62-BBAF-F1444914313A}" cache="Slicer_Payment_Method2" caption="Payment_Method"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2E6244E-FE25-4D18-8E24-B71972388EA8}" cache="Slicer_Gender" caption="Gender" columnCount="2" rowHeight="241300"/>
  <slicer name="Payment_Method" xr10:uid="{EC9C0252-0693-485D-9B94-0B2A0679B3E3}" cache="Slicer_Payment_Method" caption="Payment_Method" columnCount="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2B7D456-2A2D-4CB0-87BD-F81FCBF7F585}" cache="Slicer_Gender" caption="Gender" columnCount="2" rowHeight="241300"/>
  <slicer name="Payment_Method 1" xr10:uid="{4E2F8DE8-62B8-44F0-9EE1-66C10E88D9EA}" cache="Slicer_Payment_Method" caption="Payment_Method" columnCount="3"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5" xr10:uid="{6267346E-3339-4EB0-9DC1-738A5C0828E4}" cache="Slicer_Gender2" caption="Gender" columnCount="2" rowHeight="241300"/>
  <slicer name="Payment_Method 4" xr10:uid="{388FBEA2-B4AB-40C1-BD38-B574DF574131}" cache="Slicer_Payment_Method2" caption="Payment_Method"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78771D-BB90-442A-9D29-5B2A6222A048}" name="Table1" displayName="Table1" ref="A1:L151" totalsRowShown="0">
  <autoFilter ref="A1:L151" xr:uid="{A378771D-BB90-442A-9D29-5B2A6222A048}"/>
  <tableColumns count="12">
    <tableColumn id="1" xr3:uid="{5DD6C3E8-EBF1-4D89-A0E7-C04CB5B671CB}" name="Order_ID" dataDxfId="24"/>
    <tableColumn id="2" xr3:uid="{611EC314-319B-4BC9-83BE-DDC741EF5225}" name="Customer_Name" dataDxfId="23"/>
    <tableColumn id="3" xr3:uid="{CE45D4EA-AE5A-410F-9059-860E7FD21726}" name="Gender" dataDxfId="22"/>
    <tableColumn id="4" xr3:uid="{C57B59D1-80F6-4F7D-B98B-3A61C079B120}" name="Region" dataDxfId="21"/>
    <tableColumn id="5" xr3:uid="{827B4071-A422-4B16-95D4-C36203C6C904}" name="Product_Category" dataDxfId="20"/>
    <tableColumn id="6" xr3:uid="{FB1AB7FE-7176-432B-BCC9-BDE322E24515}" name="Product_Name" dataDxfId="19"/>
    <tableColumn id="7" xr3:uid="{5D9801CE-ECC8-4A33-9033-0EF1D1190316}" name="Quantity" dataDxfId="18"/>
    <tableColumn id="8" xr3:uid="{5B6460F0-B8E5-48A2-B2F3-1CBE15DB2543}" name="Unit_Price" dataDxfId="17"/>
    <tableColumn id="9" xr3:uid="{B707FBDC-1B38-4493-BC40-1D7A8AE48818}" name="Total_Sales" dataDxfId="16"/>
    <tableColumn id="10" xr3:uid="{65C4E92C-A22E-4D1F-A876-6D334A5B6FCE}" name="Order_Date" dataDxfId="15"/>
    <tableColumn id="11" xr3:uid="{1EC0D17D-A905-4DCA-B1CC-E8A7FDDE629C}" name="Payment_Method" dataDxfId="14"/>
    <tableColumn id="12" xr3:uid="{2C464330-5371-4B62-BE38-AD048B3706BF}" name="Sales_Rep" dataDxfId="1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4352E0-0D99-4993-BC52-6F48364C6267}" name="Table14" displayName="Table14" ref="A1:M151" totalsRowShown="0">
  <autoFilter ref="A1:M151" xr:uid="{A24352E0-0D99-4993-BC52-6F48364C6267}"/>
  <tableColumns count="13">
    <tableColumn id="1" xr3:uid="{1C9DE6D8-E8E1-49EA-A6B4-1744916753A7}" name="Order_ID" dataDxfId="12"/>
    <tableColumn id="2" xr3:uid="{ABCB8340-C683-4B5C-BDD3-2BDA90FE17BA}" name="Customer_Name" dataDxfId="11"/>
    <tableColumn id="3" xr3:uid="{CAE000AE-4E4B-4DD3-8B27-C3ACE9534F37}" name="Gender" dataDxfId="10"/>
    <tableColumn id="4" xr3:uid="{9EBE97A8-FBE6-47FC-AE4D-834A85936150}" name="Region" dataDxfId="9"/>
    <tableColumn id="5" xr3:uid="{8B8836FA-9267-4FEE-96D6-D18321C4D968}" name="Product_Category" dataDxfId="8"/>
    <tableColumn id="6" xr3:uid="{073967FE-DE68-4922-B472-CC4BB1613821}" name="Product_Name" dataDxfId="7"/>
    <tableColumn id="7" xr3:uid="{B7C52FB6-A112-42CF-9DE7-8D898EDF4887}" name="Quantity" dataDxfId="6"/>
    <tableColumn id="8" xr3:uid="{6D8E3396-BCD5-4DE6-953A-3665EB82158B}" name="Unit_Price" dataDxfId="5"/>
    <tableColumn id="9" xr3:uid="{F328708B-934E-4096-A282-491CF36A989A}" name="Total_Sales" dataDxfId="4"/>
    <tableColumn id="10" xr3:uid="{0C00B5EA-B2D4-455E-B0BD-5D29355DBCAD}" name="Order_Date" dataDxfId="3"/>
    <tableColumn id="14" xr3:uid="{427F2609-6DCA-41A1-904D-3BF36227A623}" name="Months" dataDxfId="2">
      <calculatedColumnFormula>TEXT(J2,"MMMM")</calculatedColumnFormula>
    </tableColumn>
    <tableColumn id="11" xr3:uid="{B3378B77-21AF-4CF1-A24F-28912CC58B36}" name="Payment_Method" dataDxfId="1"/>
    <tableColumn id="12" xr3:uid="{DB92FC5F-21A7-453B-8684-36AA7A0C6E91}" name="Sales_Rep"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811BEFC-21C5-4910-83C4-51702FBAF736}" sourceName="Order_Date">
  <pivotTables>
    <pivotTable tabId="10" name="PivotTable2"/>
    <pivotTable tabId="10" name="PivotTable1"/>
    <pivotTable tabId="10" name="PivotTable12"/>
    <pivotTable tabId="10" name="PivotTable13"/>
    <pivotTable tabId="10" name="PivotTable14"/>
    <pivotTable tabId="10" name="PivotTable15"/>
    <pivotTable tabId="10" name="PivotTable16"/>
  </pivotTables>
  <state minimalRefreshVersion="6" lastRefreshVersion="6" pivotCacheId="1761752706" filterType="dateBetween">
    <selection startDate="2025-01-01T00:00:00" endDate="2025-01-31T00:00:00"/>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B95D4DC5-E9D7-4CD8-977D-EF93D2D061CC}" sourceName="Order_Date">
  <pivotTables>
    <pivotTable tabId="15" name="PivotTable4"/>
    <pivotTable tabId="15" name="PivotTable1"/>
    <pivotTable tabId="15" name="PivotTable2"/>
    <pivotTable tabId="15" name="PivotTable3"/>
    <pivotTable tabId="15" name="PivotTable6"/>
    <pivotTable tabId="15" name="PivotTable7"/>
    <pivotTable tabId="15" name="PivotTable8"/>
  </pivotTables>
  <state minimalRefreshVersion="6" lastRefreshVersion="6" pivotCacheId="277052744"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2" xr10:uid="{753D87E2-1237-48C3-80A9-CB78D5051EEF}" cache="NativeTimeline_Order_Date1" caption="Order_Date" level="2" selectionLevel="2" scrollPosition="2025-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BD7B135-BA55-4994-A2E1-1FBE7489BA56}" cache="NativeTimeline_Order_Date" caption="Order_Date" level="2" selectionLevel="2" scrollPosition="2025-06-07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D6F630C9-E976-4A4C-B05E-CB34260200BB}" cache="NativeTimeline_Order_Date" caption="Order_Date" level="1" selectionLevel="2" scrollPosition="2025-01-01T00:00:00" style="TimeSlicerStyleDark1"/>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3" xr10:uid="{B9AC022E-9C16-4953-8063-659CBC444D44}" cache="NativeTimeline_Order_Date1" caption="Order_Date" level="2" selectionLevel="2" scrollPosition="2025-01-01T00:00:00" style="TimeSlicerStyleDark5"/>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microsoft.com/office/2011/relationships/timeline" Target="../timelines/timeline2.xml"/><Relationship Id="rId4" Type="http://schemas.openxmlformats.org/officeDocument/2006/relationships/pivotTable" Target="../pivotTables/pivotTable11.xml"/><Relationship Id="rId9"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11/relationships/timeline" Target="../timelines/timelin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microsoft.com/office/2011/relationships/timeline" Target="../timelines/timelin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0704B-9686-4483-8FC6-EC674FBCDB8F}">
  <dimension ref="A3:E62"/>
  <sheetViews>
    <sheetView zoomScale="114" workbookViewId="0">
      <selection activeCell="E3" sqref="E3"/>
    </sheetView>
  </sheetViews>
  <sheetFormatPr defaultRowHeight="15" x14ac:dyDescent="0.25"/>
  <cols>
    <col min="1" max="1" width="13.140625" bestFit="1" customWidth="1"/>
    <col min="2" max="2" width="17.85546875" bestFit="1" customWidth="1"/>
    <col min="3" max="3" width="12.28515625" bestFit="1" customWidth="1"/>
    <col min="5" max="5" width="18" bestFit="1" customWidth="1"/>
  </cols>
  <sheetData>
    <row r="3" spans="1:5" x14ac:dyDescent="0.25">
      <c r="A3" t="s">
        <v>219</v>
      </c>
      <c r="C3" t="s">
        <v>220</v>
      </c>
      <c r="E3" t="s">
        <v>221</v>
      </c>
    </row>
    <row r="4" spans="1:5" x14ac:dyDescent="0.25">
      <c r="A4" s="8">
        <v>150</v>
      </c>
      <c r="C4" s="3">
        <v>210041.26</v>
      </c>
      <c r="E4" s="2">
        <v>776</v>
      </c>
    </row>
    <row r="9" spans="1:5" x14ac:dyDescent="0.25">
      <c r="A9" s="5" t="s">
        <v>212</v>
      </c>
      <c r="B9" t="s">
        <v>209</v>
      </c>
    </row>
    <row r="10" spans="1:5" x14ac:dyDescent="0.25">
      <c r="A10" s="6" t="s">
        <v>59</v>
      </c>
      <c r="B10" s="8">
        <v>35</v>
      </c>
    </row>
    <row r="11" spans="1:5" x14ac:dyDescent="0.25">
      <c r="A11" s="6" t="s">
        <v>28</v>
      </c>
      <c r="B11" s="8">
        <v>24</v>
      </c>
    </row>
    <row r="12" spans="1:5" x14ac:dyDescent="0.25">
      <c r="A12" s="6" t="s">
        <v>32</v>
      </c>
      <c r="B12" s="8">
        <v>25</v>
      </c>
    </row>
    <row r="13" spans="1:5" x14ac:dyDescent="0.25">
      <c r="A13" s="6" t="s">
        <v>15</v>
      </c>
      <c r="B13" s="8">
        <v>45</v>
      </c>
    </row>
    <row r="14" spans="1:5" x14ac:dyDescent="0.25">
      <c r="A14" s="6" t="s">
        <v>41</v>
      </c>
      <c r="B14" s="8">
        <v>1</v>
      </c>
    </row>
    <row r="15" spans="1:5" x14ac:dyDescent="0.25">
      <c r="A15" s="6" t="s">
        <v>68</v>
      </c>
      <c r="B15" s="8">
        <v>20</v>
      </c>
    </row>
    <row r="16" spans="1:5" x14ac:dyDescent="0.25">
      <c r="A16" s="6" t="s">
        <v>213</v>
      </c>
      <c r="B16" s="8">
        <v>150</v>
      </c>
    </row>
    <row r="24" spans="1:2" x14ac:dyDescent="0.25">
      <c r="A24" s="5" t="s">
        <v>212</v>
      </c>
      <c r="B24" t="s">
        <v>209</v>
      </c>
    </row>
    <row r="25" spans="1:2" x14ac:dyDescent="0.25">
      <c r="A25" s="6" t="s">
        <v>33</v>
      </c>
      <c r="B25" s="8">
        <v>50</v>
      </c>
    </row>
    <row r="26" spans="1:2" x14ac:dyDescent="0.25">
      <c r="A26" s="6" t="s">
        <v>16</v>
      </c>
      <c r="B26" s="8">
        <v>28</v>
      </c>
    </row>
    <row r="27" spans="1:2" x14ac:dyDescent="0.25">
      <c r="A27" s="6" t="s">
        <v>23</v>
      </c>
      <c r="B27" s="8">
        <v>30</v>
      </c>
    </row>
    <row r="28" spans="1:2" x14ac:dyDescent="0.25">
      <c r="A28" s="6" t="s">
        <v>44</v>
      </c>
      <c r="B28" s="8">
        <v>42</v>
      </c>
    </row>
    <row r="29" spans="1:2" x14ac:dyDescent="0.25">
      <c r="A29" s="6" t="s">
        <v>213</v>
      </c>
      <c r="B29" s="8">
        <v>150</v>
      </c>
    </row>
    <row r="40" spans="1:2" x14ac:dyDescent="0.25">
      <c r="A40" s="5" t="s">
        <v>212</v>
      </c>
      <c r="B40" t="s">
        <v>218</v>
      </c>
    </row>
    <row r="41" spans="1:2" x14ac:dyDescent="0.25">
      <c r="A41" s="6" t="s">
        <v>71</v>
      </c>
      <c r="B41" s="3">
        <v>29761.979999999996</v>
      </c>
    </row>
    <row r="42" spans="1:2" x14ac:dyDescent="0.25">
      <c r="A42" s="6" t="s">
        <v>75</v>
      </c>
      <c r="B42" s="3">
        <v>26932.639999999999</v>
      </c>
    </row>
    <row r="43" spans="1:2" x14ac:dyDescent="0.25">
      <c r="A43" s="6" t="s">
        <v>82</v>
      </c>
      <c r="B43" s="3">
        <v>25201.380000000005</v>
      </c>
    </row>
    <row r="44" spans="1:2" x14ac:dyDescent="0.25">
      <c r="A44" s="6" t="s">
        <v>27</v>
      </c>
      <c r="B44" s="3">
        <v>24127.050000000003</v>
      </c>
    </row>
    <row r="45" spans="1:2" x14ac:dyDescent="0.25">
      <c r="A45" s="6" t="s">
        <v>47</v>
      </c>
      <c r="B45" s="3">
        <v>22383.9</v>
      </c>
    </row>
    <row r="46" spans="1:2" x14ac:dyDescent="0.25">
      <c r="A46" s="6" t="s">
        <v>213</v>
      </c>
      <c r="B46" s="3">
        <v>128406.95</v>
      </c>
    </row>
    <row r="56" spans="1:2" x14ac:dyDescent="0.25">
      <c r="A56" s="5" t="s">
        <v>212</v>
      </c>
      <c r="B56" t="s">
        <v>218</v>
      </c>
    </row>
    <row r="57" spans="1:2" x14ac:dyDescent="0.25">
      <c r="A57" s="6" t="s">
        <v>56</v>
      </c>
      <c r="B57" s="3">
        <v>50318.17</v>
      </c>
    </row>
    <row r="58" spans="1:2" x14ac:dyDescent="0.25">
      <c r="A58" s="6" t="s">
        <v>29</v>
      </c>
      <c r="B58" s="3">
        <v>42660.700000000019</v>
      </c>
    </row>
    <row r="59" spans="1:2" x14ac:dyDescent="0.25">
      <c r="A59" s="6" t="s">
        <v>25</v>
      </c>
      <c r="B59" s="3">
        <v>38904.42</v>
      </c>
    </row>
    <row r="60" spans="1:2" x14ac:dyDescent="0.25">
      <c r="A60" s="6" t="s">
        <v>42</v>
      </c>
      <c r="B60" s="3">
        <v>44053.27</v>
      </c>
    </row>
    <row r="61" spans="1:2" x14ac:dyDescent="0.25">
      <c r="A61" s="6" t="s">
        <v>19</v>
      </c>
      <c r="B61" s="3">
        <v>34104.699999999997</v>
      </c>
    </row>
    <row r="62" spans="1:2" x14ac:dyDescent="0.25">
      <c r="A62" s="6" t="s">
        <v>213</v>
      </c>
      <c r="B62" s="3">
        <v>210041.26</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FE7E3-A394-4F39-AB85-FF94DE0D4D68}">
  <dimension ref="A1:L151"/>
  <sheetViews>
    <sheetView topLeftCell="A2" workbookViewId="0">
      <selection activeCell="E13" sqref="E13"/>
    </sheetView>
  </sheetViews>
  <sheetFormatPr defaultRowHeight="15" x14ac:dyDescent="0.25"/>
  <cols>
    <col min="1" max="1" width="11.140625" style="1" customWidth="1"/>
    <col min="2" max="2" width="18" style="1" customWidth="1"/>
    <col min="3" max="3" width="9.85546875" style="1" customWidth="1"/>
    <col min="4" max="4" width="9.28515625" style="1" customWidth="1"/>
    <col min="5" max="5" width="18.85546875" style="1" customWidth="1"/>
    <col min="6" max="6" width="22.28515625" style="1" customWidth="1"/>
    <col min="7" max="7" width="10.85546875" style="2" customWidth="1"/>
    <col min="8" max="8" width="12.42578125" style="3" customWidth="1"/>
    <col min="9" max="9" width="15" style="3" customWidth="1"/>
    <col min="10" max="10" width="13.42578125" style="4" customWidth="1"/>
    <col min="11" max="11" width="19.140625" style="1" customWidth="1"/>
    <col min="12" max="12" width="13.7109375" style="1" customWidth="1"/>
  </cols>
  <sheetData>
    <row r="1" spans="1:12" x14ac:dyDescent="0.25">
      <c r="A1" s="1" t="s">
        <v>0</v>
      </c>
      <c r="B1" s="1" t="s">
        <v>1</v>
      </c>
      <c r="C1" s="1" t="s">
        <v>2</v>
      </c>
      <c r="D1" s="1" t="s">
        <v>3</v>
      </c>
      <c r="E1" s="1" t="s">
        <v>4</v>
      </c>
      <c r="F1" s="1" t="s">
        <v>5</v>
      </c>
      <c r="G1" s="2" t="s">
        <v>6</v>
      </c>
      <c r="H1" s="3" t="s">
        <v>7</v>
      </c>
      <c r="I1" s="3" t="s">
        <v>8</v>
      </c>
      <c r="J1" s="4" t="s">
        <v>9</v>
      </c>
      <c r="K1" s="1" t="s">
        <v>10</v>
      </c>
      <c r="L1" s="1" t="s">
        <v>11</v>
      </c>
    </row>
    <row r="2" spans="1:12" x14ac:dyDescent="0.25">
      <c r="A2" s="1" t="s">
        <v>12</v>
      </c>
      <c r="B2" s="1" t="s">
        <v>13</v>
      </c>
      <c r="C2" s="1" t="s">
        <v>14</v>
      </c>
      <c r="D2" s="1" t="s">
        <v>15</v>
      </c>
      <c r="E2" s="1" t="s">
        <v>16</v>
      </c>
      <c r="F2" s="1" t="s">
        <v>17</v>
      </c>
      <c r="G2" s="2">
        <v>1</v>
      </c>
      <c r="H2" s="3">
        <v>175.23</v>
      </c>
      <c r="I2" s="3">
        <v>175.23</v>
      </c>
      <c r="J2" s="4">
        <v>45897</v>
      </c>
      <c r="K2" s="1" t="s">
        <v>18</v>
      </c>
      <c r="L2" s="1" t="s">
        <v>19</v>
      </c>
    </row>
    <row r="3" spans="1:12" x14ac:dyDescent="0.25">
      <c r="A3" s="1" t="s">
        <v>20</v>
      </c>
      <c r="B3" s="1" t="s">
        <v>21</v>
      </c>
      <c r="C3" s="1" t="s">
        <v>22</v>
      </c>
      <c r="D3" s="1" t="s">
        <v>15</v>
      </c>
      <c r="E3" s="1" t="s">
        <v>23</v>
      </c>
      <c r="F3" s="1" t="s">
        <v>24</v>
      </c>
      <c r="G3" s="2">
        <v>8</v>
      </c>
      <c r="H3" s="3">
        <v>492.13</v>
      </c>
      <c r="I3" s="3">
        <v>3937.04</v>
      </c>
      <c r="J3" s="4">
        <v>45983</v>
      </c>
      <c r="K3" s="1" t="s">
        <v>18</v>
      </c>
      <c r="L3" s="1" t="s">
        <v>25</v>
      </c>
    </row>
    <row r="4" spans="1:12" x14ac:dyDescent="0.25">
      <c r="A4" s="1" t="s">
        <v>26</v>
      </c>
      <c r="B4" s="1" t="s">
        <v>27</v>
      </c>
      <c r="C4" s="1" t="s">
        <v>14</v>
      </c>
      <c r="D4" s="1" t="s">
        <v>28</v>
      </c>
      <c r="E4" s="1" t="s">
        <v>16</v>
      </c>
      <c r="F4" s="1" t="s">
        <v>17</v>
      </c>
      <c r="G4" s="2">
        <v>9</v>
      </c>
      <c r="H4" s="3">
        <v>406.1</v>
      </c>
      <c r="I4" s="3">
        <v>3654.9</v>
      </c>
      <c r="J4" s="4">
        <v>45699</v>
      </c>
      <c r="K4" s="1" t="s">
        <v>18</v>
      </c>
      <c r="L4" s="1" t="s">
        <v>29</v>
      </c>
    </row>
    <row r="5" spans="1:12" x14ac:dyDescent="0.25">
      <c r="A5" s="1" t="s">
        <v>30</v>
      </c>
      <c r="B5" s="1" t="s">
        <v>31</v>
      </c>
      <c r="C5" s="1" t="s">
        <v>14</v>
      </c>
      <c r="D5" s="1" t="s">
        <v>32</v>
      </c>
      <c r="E5" s="1" t="s">
        <v>33</v>
      </c>
      <c r="F5" s="1" t="s">
        <v>34</v>
      </c>
      <c r="G5" s="2">
        <v>3</v>
      </c>
      <c r="H5" s="3">
        <v>52.9</v>
      </c>
      <c r="I5" s="3">
        <v>158.69999999999999</v>
      </c>
      <c r="J5" s="4">
        <v>45882</v>
      </c>
      <c r="K5" s="1" t="s">
        <v>35</v>
      </c>
      <c r="L5" s="1" t="s">
        <v>25</v>
      </c>
    </row>
    <row r="6" spans="1:12" x14ac:dyDescent="0.25">
      <c r="A6" s="1" t="s">
        <v>36</v>
      </c>
      <c r="B6" s="1" t="s">
        <v>21</v>
      </c>
      <c r="C6" s="1" t="s">
        <v>14</v>
      </c>
      <c r="D6" s="1" t="s">
        <v>37</v>
      </c>
      <c r="E6" s="1" t="s">
        <v>33</v>
      </c>
      <c r="F6" s="1" t="s">
        <v>34</v>
      </c>
      <c r="G6" s="2">
        <v>1</v>
      </c>
      <c r="H6" s="3">
        <v>132.53</v>
      </c>
      <c r="I6" s="3">
        <v>132.53</v>
      </c>
      <c r="J6" s="4">
        <v>45698</v>
      </c>
      <c r="K6" s="1" t="s">
        <v>38</v>
      </c>
      <c r="L6" s="1" t="s">
        <v>25</v>
      </c>
    </row>
    <row r="7" spans="1:12" x14ac:dyDescent="0.25">
      <c r="A7" s="1" t="s">
        <v>39</v>
      </c>
      <c r="B7" s="1" t="s">
        <v>40</v>
      </c>
      <c r="C7" s="1" t="s">
        <v>22</v>
      </c>
      <c r="D7" s="1" t="s">
        <v>41</v>
      </c>
      <c r="E7" s="1" t="s">
        <v>23</v>
      </c>
      <c r="F7" s="1" t="s">
        <v>24</v>
      </c>
      <c r="G7" s="2">
        <v>7</v>
      </c>
      <c r="H7" s="3">
        <v>266.94</v>
      </c>
      <c r="I7" s="3">
        <v>1868.58</v>
      </c>
      <c r="J7" s="4">
        <v>45965</v>
      </c>
      <c r="K7" s="1" t="s">
        <v>38</v>
      </c>
      <c r="L7" s="1" t="s">
        <v>42</v>
      </c>
    </row>
    <row r="8" spans="1:12" x14ac:dyDescent="0.25">
      <c r="A8" s="1" t="s">
        <v>43</v>
      </c>
      <c r="B8" s="1" t="s">
        <v>31</v>
      </c>
      <c r="C8" s="1" t="s">
        <v>14</v>
      </c>
      <c r="D8" s="1" t="s">
        <v>32</v>
      </c>
      <c r="E8" s="1" t="s">
        <v>44</v>
      </c>
      <c r="F8" s="1" t="s">
        <v>45</v>
      </c>
      <c r="G8" s="2">
        <v>8</v>
      </c>
      <c r="H8" s="3">
        <v>413.66</v>
      </c>
      <c r="I8" s="3">
        <v>3309.28</v>
      </c>
      <c r="J8" s="4">
        <v>45806</v>
      </c>
      <c r="K8" s="1" t="s">
        <v>18</v>
      </c>
      <c r="L8" s="1" t="s">
        <v>42</v>
      </c>
    </row>
    <row r="9" spans="1:12" x14ac:dyDescent="0.25">
      <c r="A9" s="1" t="s">
        <v>46</v>
      </c>
      <c r="B9" s="1" t="s">
        <v>47</v>
      </c>
      <c r="C9" s="1" t="s">
        <v>22</v>
      </c>
      <c r="D9" s="1" t="s">
        <v>28</v>
      </c>
      <c r="E9" s="1" t="s">
        <v>23</v>
      </c>
      <c r="F9" s="1" t="s">
        <v>48</v>
      </c>
      <c r="G9" s="2">
        <v>7</v>
      </c>
      <c r="H9" s="3">
        <v>458.7</v>
      </c>
      <c r="I9" s="3">
        <v>3210.9</v>
      </c>
      <c r="J9" s="4">
        <v>45987</v>
      </c>
      <c r="K9" s="1" t="s">
        <v>35</v>
      </c>
      <c r="L9" s="1" t="s">
        <v>42</v>
      </c>
    </row>
    <row r="10" spans="1:12" x14ac:dyDescent="0.25">
      <c r="A10" s="1" t="s">
        <v>49</v>
      </c>
      <c r="B10" s="1" t="s">
        <v>47</v>
      </c>
      <c r="C10" s="1" t="s">
        <v>14</v>
      </c>
      <c r="D10" s="1" t="s">
        <v>28</v>
      </c>
      <c r="E10" s="1" t="s">
        <v>23</v>
      </c>
      <c r="F10" s="1" t="s">
        <v>48</v>
      </c>
      <c r="G10" s="2">
        <v>2</v>
      </c>
      <c r="H10" s="3">
        <v>310.61</v>
      </c>
      <c r="I10" s="3">
        <v>621.22</v>
      </c>
      <c r="J10" s="4">
        <v>45888</v>
      </c>
      <c r="K10" s="1" t="s">
        <v>38</v>
      </c>
      <c r="L10" s="1" t="s">
        <v>42</v>
      </c>
    </row>
    <row r="11" spans="1:12" x14ac:dyDescent="0.25">
      <c r="A11" s="1" t="s">
        <v>50</v>
      </c>
      <c r="B11" s="1" t="s">
        <v>40</v>
      </c>
      <c r="C11" s="1" t="s">
        <v>14</v>
      </c>
      <c r="D11" s="1" t="s">
        <v>37</v>
      </c>
      <c r="E11" s="1" t="s">
        <v>16</v>
      </c>
      <c r="F11" s="1" t="s">
        <v>17</v>
      </c>
      <c r="G11" s="2">
        <v>3</v>
      </c>
      <c r="H11" s="3">
        <v>93.56</v>
      </c>
      <c r="I11" s="3">
        <v>280.68</v>
      </c>
      <c r="J11" s="4">
        <v>45837</v>
      </c>
      <c r="K11" s="1" t="s">
        <v>35</v>
      </c>
      <c r="L11" s="1" t="s">
        <v>19</v>
      </c>
    </row>
    <row r="12" spans="1:12" x14ac:dyDescent="0.25">
      <c r="A12" s="1" t="s">
        <v>51</v>
      </c>
      <c r="B12" s="1" t="s">
        <v>52</v>
      </c>
      <c r="C12" s="1" t="s">
        <v>22</v>
      </c>
      <c r="D12" s="1" t="s">
        <v>32</v>
      </c>
      <c r="E12" s="1" t="s">
        <v>23</v>
      </c>
      <c r="F12" s="1" t="s">
        <v>53</v>
      </c>
      <c r="G12" s="2">
        <v>1</v>
      </c>
      <c r="H12" s="3">
        <v>343.73</v>
      </c>
      <c r="I12" s="3">
        <v>343.73</v>
      </c>
      <c r="J12" s="4">
        <v>45984</v>
      </c>
      <c r="K12" s="1" t="s">
        <v>54</v>
      </c>
      <c r="L12" s="1" t="s">
        <v>29</v>
      </c>
    </row>
    <row r="13" spans="1:12" x14ac:dyDescent="0.25">
      <c r="A13" s="1" t="s">
        <v>55</v>
      </c>
      <c r="B13" s="1" t="s">
        <v>31</v>
      </c>
      <c r="C13" s="1" t="s">
        <v>14</v>
      </c>
      <c r="D13" s="1" t="s">
        <v>15</v>
      </c>
      <c r="E13" s="1" t="s">
        <v>33</v>
      </c>
      <c r="F13" s="1" t="s">
        <v>34</v>
      </c>
      <c r="G13" s="2">
        <v>9</v>
      </c>
      <c r="H13" s="3">
        <v>177.23</v>
      </c>
      <c r="I13" s="3">
        <v>1595.07</v>
      </c>
      <c r="J13" s="4">
        <v>45906</v>
      </c>
      <c r="K13" s="1" t="s">
        <v>18</v>
      </c>
      <c r="L13" s="1" t="s">
        <v>56</v>
      </c>
    </row>
    <row r="14" spans="1:12" x14ac:dyDescent="0.25">
      <c r="A14" s="1" t="s">
        <v>57</v>
      </c>
      <c r="B14" s="1" t="s">
        <v>40</v>
      </c>
      <c r="C14" s="1" t="s">
        <v>14</v>
      </c>
      <c r="D14" s="1" t="s">
        <v>15</v>
      </c>
      <c r="E14" s="1" t="s">
        <v>44</v>
      </c>
      <c r="F14" s="1" t="s">
        <v>45</v>
      </c>
      <c r="G14" s="2">
        <v>5</v>
      </c>
      <c r="H14" s="3">
        <v>396.08</v>
      </c>
      <c r="I14" s="3">
        <v>1980.4</v>
      </c>
      <c r="J14" s="4">
        <v>45764</v>
      </c>
      <c r="K14" s="1" t="s">
        <v>38</v>
      </c>
      <c r="L14" s="1" t="s">
        <v>25</v>
      </c>
    </row>
    <row r="15" spans="1:12" x14ac:dyDescent="0.25">
      <c r="A15" s="1" t="s">
        <v>58</v>
      </c>
      <c r="B15" s="1" t="s">
        <v>40</v>
      </c>
      <c r="C15" s="1" t="s">
        <v>22</v>
      </c>
      <c r="D15" s="1" t="s">
        <v>59</v>
      </c>
      <c r="E15" s="1" t="s">
        <v>33</v>
      </c>
      <c r="F15" s="1" t="s">
        <v>60</v>
      </c>
      <c r="G15" s="2">
        <v>1</v>
      </c>
      <c r="H15" s="3">
        <v>57.86</v>
      </c>
      <c r="I15" s="3">
        <v>57.86</v>
      </c>
      <c r="J15" s="4">
        <v>45799</v>
      </c>
      <c r="K15" s="1" t="s">
        <v>18</v>
      </c>
      <c r="L15" s="1" t="s">
        <v>19</v>
      </c>
    </row>
    <row r="16" spans="1:12" x14ac:dyDescent="0.25">
      <c r="A16" s="1" t="s">
        <v>61</v>
      </c>
      <c r="B16" s="1" t="s">
        <v>31</v>
      </c>
      <c r="C16" s="1" t="s">
        <v>22</v>
      </c>
      <c r="D16" s="1" t="s">
        <v>15</v>
      </c>
      <c r="E16" s="1" t="s">
        <v>44</v>
      </c>
      <c r="F16" s="1" t="s">
        <v>62</v>
      </c>
      <c r="G16" s="2">
        <v>3</v>
      </c>
      <c r="H16" s="3">
        <v>265.58</v>
      </c>
      <c r="I16" s="3">
        <v>796.74</v>
      </c>
      <c r="J16" s="4">
        <v>45752</v>
      </c>
      <c r="K16" s="1" t="s">
        <v>38</v>
      </c>
      <c r="L16" s="1" t="s">
        <v>19</v>
      </c>
    </row>
    <row r="17" spans="1:12" x14ac:dyDescent="0.25">
      <c r="A17" s="1" t="s">
        <v>63</v>
      </c>
      <c r="B17" s="1" t="s">
        <v>64</v>
      </c>
      <c r="C17" s="1" t="s">
        <v>22</v>
      </c>
      <c r="D17" s="1" t="s">
        <v>32</v>
      </c>
      <c r="E17" s="1" t="s">
        <v>33</v>
      </c>
      <c r="F17" s="1" t="s">
        <v>60</v>
      </c>
      <c r="G17" s="2">
        <v>5</v>
      </c>
      <c r="H17" s="3">
        <v>13.09</v>
      </c>
      <c r="I17" s="3">
        <v>104.72</v>
      </c>
      <c r="J17" s="4">
        <v>45669</v>
      </c>
      <c r="K17" s="1" t="s">
        <v>54</v>
      </c>
      <c r="L17" s="1" t="s">
        <v>56</v>
      </c>
    </row>
    <row r="18" spans="1:12" x14ac:dyDescent="0.25">
      <c r="A18" s="1" t="s">
        <v>65</v>
      </c>
      <c r="B18" s="1" t="s">
        <v>21</v>
      </c>
      <c r="C18" s="1" t="s">
        <v>22</v>
      </c>
      <c r="D18" s="1" t="s">
        <v>28</v>
      </c>
      <c r="E18" s="1" t="s">
        <v>23</v>
      </c>
      <c r="F18" s="1" t="s">
        <v>53</v>
      </c>
      <c r="G18" s="2">
        <v>9</v>
      </c>
      <c r="H18" s="3">
        <v>319.56</v>
      </c>
      <c r="I18" s="3">
        <v>2876.04</v>
      </c>
      <c r="J18" s="4">
        <v>45961</v>
      </c>
      <c r="K18" s="1" t="s">
        <v>35</v>
      </c>
      <c r="L18" s="1" t="s">
        <v>42</v>
      </c>
    </row>
    <row r="19" spans="1:12" x14ac:dyDescent="0.25">
      <c r="A19" s="1" t="s">
        <v>66</v>
      </c>
      <c r="B19" s="1" t="s">
        <v>27</v>
      </c>
      <c r="C19" s="1" t="s">
        <v>14</v>
      </c>
      <c r="D19" s="1" t="s">
        <v>28</v>
      </c>
      <c r="E19" s="1" t="s">
        <v>23</v>
      </c>
      <c r="F19" s="1" t="s">
        <v>24</v>
      </c>
      <c r="G19" s="2">
        <v>9</v>
      </c>
      <c r="H19" s="3">
        <v>395.76</v>
      </c>
      <c r="I19" s="3">
        <v>3561.84</v>
      </c>
      <c r="J19" s="4">
        <v>45916</v>
      </c>
      <c r="K19" s="1" t="s">
        <v>38</v>
      </c>
      <c r="L19" s="1" t="s">
        <v>19</v>
      </c>
    </row>
    <row r="20" spans="1:12" x14ac:dyDescent="0.25">
      <c r="A20" s="1" t="s">
        <v>67</v>
      </c>
      <c r="B20" s="1" t="s">
        <v>47</v>
      </c>
      <c r="C20" s="1" t="s">
        <v>22</v>
      </c>
      <c r="D20" s="1" t="s">
        <v>68</v>
      </c>
      <c r="E20" s="1" t="s">
        <v>33</v>
      </c>
      <c r="F20" s="1" t="s">
        <v>34</v>
      </c>
      <c r="G20" s="2">
        <v>5</v>
      </c>
      <c r="H20" s="3">
        <v>184.29</v>
      </c>
      <c r="I20" s="3">
        <v>921.45</v>
      </c>
      <c r="J20" s="4">
        <v>45864</v>
      </c>
      <c r="K20" s="1" t="s">
        <v>35</v>
      </c>
      <c r="L20" s="1" t="s">
        <v>56</v>
      </c>
    </row>
    <row r="21" spans="1:12" x14ac:dyDescent="0.25">
      <c r="A21" s="1" t="s">
        <v>69</v>
      </c>
      <c r="B21" s="1" t="s">
        <v>31</v>
      </c>
      <c r="C21" s="1" t="s">
        <v>22</v>
      </c>
      <c r="D21" s="1" t="s">
        <v>37</v>
      </c>
      <c r="E21" s="1" t="s">
        <v>23</v>
      </c>
      <c r="F21" s="1" t="s">
        <v>53</v>
      </c>
      <c r="G21" s="2">
        <v>7</v>
      </c>
      <c r="H21" s="3">
        <v>176.65</v>
      </c>
      <c r="I21" s="3">
        <v>1236.55</v>
      </c>
      <c r="J21" s="4">
        <v>45892</v>
      </c>
      <c r="K21" s="1" t="s">
        <v>35</v>
      </c>
      <c r="L21" s="1" t="s">
        <v>25</v>
      </c>
    </row>
    <row r="22" spans="1:12" x14ac:dyDescent="0.25">
      <c r="A22" s="1" t="s">
        <v>70</v>
      </c>
      <c r="B22" s="1" t="s">
        <v>71</v>
      </c>
      <c r="C22" s="1" t="s">
        <v>22</v>
      </c>
      <c r="D22" s="1" t="s">
        <v>59</v>
      </c>
      <c r="E22" s="1" t="s">
        <v>33</v>
      </c>
      <c r="F22" s="1" t="s">
        <v>72</v>
      </c>
      <c r="G22" s="2">
        <v>8</v>
      </c>
      <c r="H22" s="3">
        <v>282.35000000000002</v>
      </c>
      <c r="I22" s="3">
        <v>2258.8000000000002</v>
      </c>
      <c r="J22" s="4">
        <v>45994</v>
      </c>
      <c r="K22" s="1" t="s">
        <v>73</v>
      </c>
      <c r="L22" s="1" t="s">
        <v>42</v>
      </c>
    </row>
    <row r="23" spans="1:12" x14ac:dyDescent="0.25">
      <c r="A23" s="1" t="s">
        <v>74</v>
      </c>
      <c r="B23" s="1" t="s">
        <v>75</v>
      </c>
      <c r="C23" s="1" t="s">
        <v>14</v>
      </c>
      <c r="D23" s="1" t="s">
        <v>15</v>
      </c>
      <c r="E23" s="1" t="s">
        <v>44</v>
      </c>
      <c r="F23" s="1" t="s">
        <v>62</v>
      </c>
      <c r="G23" s="2">
        <v>10</v>
      </c>
      <c r="H23" s="3">
        <v>383.51</v>
      </c>
      <c r="I23" s="3">
        <v>3835.1</v>
      </c>
      <c r="J23" s="4">
        <v>45937</v>
      </c>
      <c r="K23" s="1" t="s">
        <v>54</v>
      </c>
      <c r="L23" s="1" t="s">
        <v>42</v>
      </c>
    </row>
    <row r="24" spans="1:12" x14ac:dyDescent="0.25">
      <c r="A24" s="1" t="s">
        <v>76</v>
      </c>
      <c r="B24" s="1" t="s">
        <v>40</v>
      </c>
      <c r="C24" s="1" t="s">
        <v>14</v>
      </c>
      <c r="D24" s="1" t="s">
        <v>32</v>
      </c>
      <c r="E24" s="1" t="s">
        <v>23</v>
      </c>
      <c r="F24" s="1" t="s">
        <v>48</v>
      </c>
      <c r="G24" s="2">
        <v>7</v>
      </c>
      <c r="H24" s="3">
        <v>415</v>
      </c>
      <c r="I24" s="3">
        <v>2905</v>
      </c>
      <c r="J24" s="4">
        <v>45839</v>
      </c>
      <c r="K24" s="1" t="s">
        <v>35</v>
      </c>
      <c r="L24" s="1" t="s">
        <v>56</v>
      </c>
    </row>
    <row r="25" spans="1:12" x14ac:dyDescent="0.25">
      <c r="A25" s="1" t="s">
        <v>77</v>
      </c>
      <c r="B25" s="1" t="s">
        <v>47</v>
      </c>
      <c r="C25" s="1" t="s">
        <v>22</v>
      </c>
      <c r="D25" s="1" t="s">
        <v>68</v>
      </c>
      <c r="E25" s="1" t="s">
        <v>23</v>
      </c>
      <c r="F25" s="1" t="s">
        <v>48</v>
      </c>
      <c r="G25" s="2">
        <v>10</v>
      </c>
      <c r="H25" s="3">
        <v>132.85</v>
      </c>
      <c r="I25" s="3">
        <v>1328.5</v>
      </c>
      <c r="J25" s="4">
        <v>45682</v>
      </c>
      <c r="K25" s="1" t="s">
        <v>35</v>
      </c>
      <c r="L25" s="1" t="s">
        <v>25</v>
      </c>
    </row>
    <row r="26" spans="1:12" x14ac:dyDescent="0.25">
      <c r="A26" s="1" t="s">
        <v>78</v>
      </c>
      <c r="B26" s="1" t="s">
        <v>47</v>
      </c>
      <c r="C26" s="1" t="s">
        <v>22</v>
      </c>
      <c r="D26" s="1" t="s">
        <v>32</v>
      </c>
      <c r="E26" s="1" t="s">
        <v>23</v>
      </c>
      <c r="F26" s="1" t="s">
        <v>48</v>
      </c>
      <c r="G26" s="2">
        <v>2</v>
      </c>
      <c r="H26" s="3">
        <v>286.70999999999998</v>
      </c>
      <c r="I26" s="3">
        <v>573.41999999999996</v>
      </c>
      <c r="J26" s="4">
        <v>45915</v>
      </c>
      <c r="K26" s="1" t="s">
        <v>38</v>
      </c>
      <c r="L26" s="1" t="s">
        <v>29</v>
      </c>
    </row>
    <row r="27" spans="1:12" x14ac:dyDescent="0.25">
      <c r="A27" s="1" t="s">
        <v>79</v>
      </c>
      <c r="B27" s="1" t="s">
        <v>27</v>
      </c>
      <c r="C27" s="1" t="s">
        <v>14</v>
      </c>
      <c r="D27" s="1" t="s">
        <v>68</v>
      </c>
      <c r="E27" s="1" t="s">
        <v>23</v>
      </c>
      <c r="F27" s="1" t="s">
        <v>48</v>
      </c>
      <c r="G27" s="2">
        <v>2</v>
      </c>
      <c r="H27" s="3">
        <v>474.17</v>
      </c>
      <c r="I27" s="3">
        <v>948.34</v>
      </c>
      <c r="J27" s="4">
        <v>45816</v>
      </c>
      <c r="K27" s="1" t="s">
        <v>18</v>
      </c>
      <c r="L27" s="1" t="s">
        <v>19</v>
      </c>
    </row>
    <row r="28" spans="1:12" x14ac:dyDescent="0.25">
      <c r="A28" s="1" t="s">
        <v>80</v>
      </c>
      <c r="B28" s="1" t="s">
        <v>13</v>
      </c>
      <c r="C28" s="1" t="s">
        <v>14</v>
      </c>
      <c r="D28" s="1" t="s">
        <v>37</v>
      </c>
      <c r="E28" s="1" t="s">
        <v>33</v>
      </c>
      <c r="F28" s="1" t="s">
        <v>34</v>
      </c>
      <c r="G28" s="2">
        <v>8</v>
      </c>
      <c r="H28" s="3">
        <v>423.33</v>
      </c>
      <c r="I28" s="3">
        <v>3386.64</v>
      </c>
      <c r="J28" s="4">
        <v>45790</v>
      </c>
      <c r="K28" s="1" t="s">
        <v>18</v>
      </c>
      <c r="L28" s="1" t="s">
        <v>19</v>
      </c>
    </row>
    <row r="29" spans="1:12" x14ac:dyDescent="0.25">
      <c r="A29" s="1" t="s">
        <v>81</v>
      </c>
      <c r="B29" s="1" t="s">
        <v>82</v>
      </c>
      <c r="C29" s="1" t="s">
        <v>22</v>
      </c>
      <c r="D29" s="1" t="s">
        <v>83</v>
      </c>
      <c r="E29" s="1" t="s">
        <v>33</v>
      </c>
      <c r="F29" s="1" t="s">
        <v>60</v>
      </c>
      <c r="G29" s="2">
        <v>6</v>
      </c>
      <c r="H29" s="3">
        <v>192.43</v>
      </c>
      <c r="I29" s="3">
        <v>1154.58</v>
      </c>
      <c r="J29" s="4">
        <v>45789</v>
      </c>
      <c r="K29" s="1" t="s">
        <v>35</v>
      </c>
      <c r="L29" s="1" t="s">
        <v>56</v>
      </c>
    </row>
    <row r="30" spans="1:12" x14ac:dyDescent="0.25">
      <c r="A30" s="1" t="s">
        <v>84</v>
      </c>
      <c r="B30" s="1" t="s">
        <v>40</v>
      </c>
      <c r="C30" s="1" t="s">
        <v>14</v>
      </c>
      <c r="D30" s="1" t="s">
        <v>37</v>
      </c>
      <c r="E30" s="1" t="s">
        <v>33</v>
      </c>
      <c r="F30" s="1" t="s">
        <v>72</v>
      </c>
      <c r="G30" s="2">
        <v>10</v>
      </c>
      <c r="H30" s="3">
        <v>65.099999999999994</v>
      </c>
      <c r="I30" s="3">
        <v>651</v>
      </c>
      <c r="J30" s="4">
        <v>45833</v>
      </c>
      <c r="K30" s="1" t="s">
        <v>54</v>
      </c>
      <c r="L30" s="1" t="s">
        <v>56</v>
      </c>
    </row>
    <row r="31" spans="1:12" x14ac:dyDescent="0.25">
      <c r="A31" s="1" t="s">
        <v>85</v>
      </c>
      <c r="B31" s="1" t="s">
        <v>21</v>
      </c>
      <c r="C31" s="1" t="s">
        <v>22</v>
      </c>
      <c r="D31" s="1" t="s">
        <v>59</v>
      </c>
      <c r="E31" s="1" t="s">
        <v>44</v>
      </c>
      <c r="F31" s="1" t="s">
        <v>45</v>
      </c>
      <c r="G31" s="2">
        <v>2</v>
      </c>
      <c r="H31" s="3">
        <v>58.48</v>
      </c>
      <c r="I31" s="3">
        <v>116.96</v>
      </c>
      <c r="J31" s="4">
        <v>45931</v>
      </c>
      <c r="K31" s="1" t="s">
        <v>35</v>
      </c>
      <c r="L31" s="1" t="s">
        <v>42</v>
      </c>
    </row>
    <row r="32" spans="1:12" x14ac:dyDescent="0.25">
      <c r="A32" s="1" t="s">
        <v>86</v>
      </c>
      <c r="B32" s="1" t="s">
        <v>31</v>
      </c>
      <c r="C32" s="1" t="s">
        <v>14</v>
      </c>
      <c r="D32" s="1" t="s">
        <v>59</v>
      </c>
      <c r="E32" s="1" t="s">
        <v>33</v>
      </c>
      <c r="F32" s="1" t="s">
        <v>34</v>
      </c>
      <c r="G32" s="2">
        <v>6</v>
      </c>
      <c r="H32" s="3">
        <v>26.96</v>
      </c>
      <c r="I32" s="3">
        <v>161.76</v>
      </c>
      <c r="J32" s="4">
        <v>45923</v>
      </c>
      <c r="K32" s="1" t="s">
        <v>54</v>
      </c>
      <c r="L32" s="1" t="s">
        <v>19</v>
      </c>
    </row>
    <row r="33" spans="1:12" x14ac:dyDescent="0.25">
      <c r="A33" s="1" t="s">
        <v>87</v>
      </c>
      <c r="B33" s="1" t="s">
        <v>64</v>
      </c>
      <c r="C33" s="1" t="s">
        <v>22</v>
      </c>
      <c r="D33" s="1" t="s">
        <v>59</v>
      </c>
      <c r="E33" s="1" t="s">
        <v>23</v>
      </c>
      <c r="F33" s="1" t="s">
        <v>24</v>
      </c>
      <c r="G33" s="2">
        <v>2</v>
      </c>
      <c r="H33" s="3">
        <v>453.74</v>
      </c>
      <c r="I33" s="3">
        <v>907.48</v>
      </c>
      <c r="J33" s="4">
        <v>45946</v>
      </c>
      <c r="K33" s="1" t="s">
        <v>54</v>
      </c>
      <c r="L33" s="1" t="s">
        <v>19</v>
      </c>
    </row>
    <row r="34" spans="1:12" x14ac:dyDescent="0.25">
      <c r="A34" s="1" t="s">
        <v>88</v>
      </c>
      <c r="B34" s="1" t="s">
        <v>27</v>
      </c>
      <c r="C34" s="1" t="s">
        <v>14</v>
      </c>
      <c r="D34" s="1" t="s">
        <v>15</v>
      </c>
      <c r="E34" s="1" t="s">
        <v>44</v>
      </c>
      <c r="F34" s="1" t="s">
        <v>45</v>
      </c>
      <c r="G34" s="2">
        <v>10</v>
      </c>
      <c r="H34" s="3">
        <v>412.93</v>
      </c>
      <c r="I34" s="3">
        <v>4129.3</v>
      </c>
      <c r="J34" s="4">
        <v>45951</v>
      </c>
      <c r="K34" s="1" t="s">
        <v>18</v>
      </c>
      <c r="L34" s="1" t="s">
        <v>25</v>
      </c>
    </row>
    <row r="35" spans="1:12" x14ac:dyDescent="0.25">
      <c r="A35" s="1" t="s">
        <v>89</v>
      </c>
      <c r="B35" s="1" t="s">
        <v>21</v>
      </c>
      <c r="C35" s="1" t="s">
        <v>22</v>
      </c>
      <c r="D35" s="1" t="s">
        <v>68</v>
      </c>
      <c r="E35" s="1" t="s">
        <v>33</v>
      </c>
      <c r="F35" s="1" t="s">
        <v>34</v>
      </c>
      <c r="G35" s="2">
        <v>1</v>
      </c>
      <c r="H35" s="3">
        <v>298.67</v>
      </c>
      <c r="I35" s="3">
        <v>298.67</v>
      </c>
      <c r="J35" s="4">
        <v>45956</v>
      </c>
      <c r="K35" s="1" t="s">
        <v>38</v>
      </c>
      <c r="L35" s="1" t="s">
        <v>42</v>
      </c>
    </row>
    <row r="36" spans="1:12" x14ac:dyDescent="0.25">
      <c r="A36" s="1" t="s">
        <v>90</v>
      </c>
      <c r="B36" s="1" t="s">
        <v>21</v>
      </c>
      <c r="C36" s="1" t="s">
        <v>22</v>
      </c>
      <c r="D36" s="1" t="s">
        <v>68</v>
      </c>
      <c r="E36" s="1" t="s">
        <v>44</v>
      </c>
      <c r="F36" s="1" t="s">
        <v>91</v>
      </c>
      <c r="G36" s="2">
        <v>1</v>
      </c>
      <c r="H36" s="3">
        <v>60.43</v>
      </c>
      <c r="I36" s="3">
        <v>60.43</v>
      </c>
      <c r="J36" s="4">
        <v>45861</v>
      </c>
      <c r="K36" s="1" t="s">
        <v>35</v>
      </c>
      <c r="L36" s="1" t="s">
        <v>56</v>
      </c>
    </row>
    <row r="37" spans="1:12" x14ac:dyDescent="0.25">
      <c r="A37" s="1" t="s">
        <v>92</v>
      </c>
      <c r="B37" s="1" t="s">
        <v>64</v>
      </c>
      <c r="C37" s="1" t="s">
        <v>22</v>
      </c>
      <c r="D37" s="1" t="s">
        <v>32</v>
      </c>
      <c r="E37" s="1" t="s">
        <v>44</v>
      </c>
      <c r="F37" s="1" t="s">
        <v>91</v>
      </c>
      <c r="G37" s="2">
        <v>3</v>
      </c>
      <c r="H37" s="3">
        <v>382.77</v>
      </c>
      <c r="I37" s="3">
        <v>1148.31</v>
      </c>
      <c r="J37" s="4">
        <v>45916</v>
      </c>
      <c r="K37" s="1" t="s">
        <v>35</v>
      </c>
      <c r="L37" s="1" t="s">
        <v>25</v>
      </c>
    </row>
    <row r="38" spans="1:12" x14ac:dyDescent="0.25">
      <c r="A38" s="1" t="s">
        <v>93</v>
      </c>
      <c r="B38" s="1" t="s">
        <v>21</v>
      </c>
      <c r="C38" s="1" t="s">
        <v>22</v>
      </c>
      <c r="D38" s="1" t="s">
        <v>37</v>
      </c>
      <c r="E38" s="1" t="s">
        <v>33</v>
      </c>
      <c r="F38" s="1" t="s">
        <v>72</v>
      </c>
      <c r="G38" s="2">
        <v>1</v>
      </c>
      <c r="H38" s="3">
        <v>128.22999999999999</v>
      </c>
      <c r="I38" s="3">
        <v>128.22999999999999</v>
      </c>
      <c r="J38" s="4">
        <v>45984</v>
      </c>
      <c r="K38" s="1" t="s">
        <v>35</v>
      </c>
      <c r="L38" s="1" t="s">
        <v>56</v>
      </c>
    </row>
    <row r="39" spans="1:12" x14ac:dyDescent="0.25">
      <c r="A39" s="1" t="s">
        <v>94</v>
      </c>
      <c r="B39" s="1" t="s">
        <v>47</v>
      </c>
      <c r="C39" s="1" t="s">
        <v>14</v>
      </c>
      <c r="D39" s="1" t="s">
        <v>15</v>
      </c>
      <c r="E39" s="1" t="s">
        <v>44</v>
      </c>
      <c r="F39" s="1" t="s">
        <v>62</v>
      </c>
      <c r="G39" s="2">
        <v>10</v>
      </c>
      <c r="H39" s="3">
        <v>302.76</v>
      </c>
      <c r="I39" s="3">
        <v>3027.6</v>
      </c>
      <c r="J39" s="4">
        <v>45938</v>
      </c>
      <c r="K39" s="1" t="s">
        <v>38</v>
      </c>
      <c r="L39" s="1" t="s">
        <v>42</v>
      </c>
    </row>
    <row r="40" spans="1:12" x14ac:dyDescent="0.25">
      <c r="A40" s="1" t="s">
        <v>95</v>
      </c>
      <c r="B40" s="1" t="s">
        <v>13</v>
      </c>
      <c r="C40" s="1" t="s">
        <v>22</v>
      </c>
      <c r="D40" s="1" t="s">
        <v>28</v>
      </c>
      <c r="E40" s="1" t="s">
        <v>33</v>
      </c>
      <c r="F40" s="1" t="s">
        <v>72</v>
      </c>
      <c r="G40" s="2">
        <v>4</v>
      </c>
      <c r="H40" s="3">
        <v>370.71</v>
      </c>
      <c r="I40" s="3">
        <v>1482.84</v>
      </c>
      <c r="J40" s="4">
        <v>45828</v>
      </c>
      <c r="K40" s="1" t="s">
        <v>18</v>
      </c>
      <c r="L40" s="1" t="s">
        <v>42</v>
      </c>
    </row>
    <row r="41" spans="1:12" x14ac:dyDescent="0.25">
      <c r="A41" s="1" t="s">
        <v>96</v>
      </c>
      <c r="B41" s="1" t="s">
        <v>82</v>
      </c>
      <c r="C41" s="1" t="s">
        <v>22</v>
      </c>
      <c r="D41" s="1" t="s">
        <v>15</v>
      </c>
      <c r="E41" s="1" t="s">
        <v>44</v>
      </c>
      <c r="F41" s="1" t="s">
        <v>91</v>
      </c>
      <c r="G41" s="2">
        <v>3</v>
      </c>
      <c r="H41" s="3">
        <v>114.5</v>
      </c>
      <c r="I41" s="3">
        <v>343.5</v>
      </c>
      <c r="J41" s="4">
        <v>45918</v>
      </c>
      <c r="K41" s="1" t="s">
        <v>38</v>
      </c>
      <c r="L41" s="1" t="s">
        <v>19</v>
      </c>
    </row>
    <row r="42" spans="1:12" x14ac:dyDescent="0.25">
      <c r="A42" s="1" t="s">
        <v>97</v>
      </c>
      <c r="B42" s="1" t="s">
        <v>64</v>
      </c>
      <c r="C42" s="1" t="s">
        <v>22</v>
      </c>
      <c r="D42" s="1" t="s">
        <v>28</v>
      </c>
      <c r="E42" s="1" t="s">
        <v>16</v>
      </c>
      <c r="F42" s="1" t="s">
        <v>98</v>
      </c>
      <c r="G42" s="2">
        <v>6</v>
      </c>
      <c r="H42" s="3">
        <v>396.49</v>
      </c>
      <c r="I42" s="3">
        <v>2378.94</v>
      </c>
      <c r="J42" s="4">
        <v>45907</v>
      </c>
      <c r="K42" s="1" t="s">
        <v>54</v>
      </c>
      <c r="L42" s="1" t="s">
        <v>56</v>
      </c>
    </row>
    <row r="43" spans="1:12" x14ac:dyDescent="0.25">
      <c r="A43" s="1" t="s">
        <v>99</v>
      </c>
      <c r="B43" s="1" t="s">
        <v>40</v>
      </c>
      <c r="C43" s="1" t="s">
        <v>14</v>
      </c>
      <c r="D43" s="1" t="s">
        <v>68</v>
      </c>
      <c r="E43" s="1" t="s">
        <v>33</v>
      </c>
      <c r="F43" s="1" t="s">
        <v>60</v>
      </c>
      <c r="G43" s="2">
        <v>8</v>
      </c>
      <c r="H43" s="3">
        <v>349.25</v>
      </c>
      <c r="I43" s="3">
        <v>2794</v>
      </c>
      <c r="J43" s="4">
        <v>45793</v>
      </c>
      <c r="K43" s="1" t="s">
        <v>38</v>
      </c>
      <c r="L43" s="1" t="s">
        <v>56</v>
      </c>
    </row>
    <row r="44" spans="1:12" x14ac:dyDescent="0.25">
      <c r="A44" s="1" t="s">
        <v>100</v>
      </c>
      <c r="B44" s="1" t="s">
        <v>21</v>
      </c>
      <c r="C44" s="1" t="s">
        <v>14</v>
      </c>
      <c r="D44" s="1" t="s">
        <v>59</v>
      </c>
      <c r="E44" s="1" t="s">
        <v>44</v>
      </c>
      <c r="F44" s="1" t="s">
        <v>91</v>
      </c>
      <c r="G44" s="2">
        <v>10</v>
      </c>
      <c r="H44" s="3">
        <v>73.42</v>
      </c>
      <c r="I44" s="3">
        <v>734.2</v>
      </c>
      <c r="J44" s="4">
        <v>45660</v>
      </c>
      <c r="K44" s="1" t="s">
        <v>38</v>
      </c>
      <c r="L44" s="1" t="s">
        <v>29</v>
      </c>
    </row>
    <row r="45" spans="1:12" x14ac:dyDescent="0.25">
      <c r="A45" s="1" t="s">
        <v>101</v>
      </c>
      <c r="B45" s="1" t="s">
        <v>71</v>
      </c>
      <c r="C45" s="1" t="s">
        <v>14</v>
      </c>
      <c r="D45" s="1" t="s">
        <v>32</v>
      </c>
      <c r="E45" s="1" t="s">
        <v>23</v>
      </c>
      <c r="F45" s="1" t="s">
        <v>53</v>
      </c>
      <c r="G45" s="2">
        <v>9</v>
      </c>
      <c r="H45" s="3">
        <v>306.58</v>
      </c>
      <c r="I45" s="3">
        <v>2759.22</v>
      </c>
      <c r="J45" s="4">
        <v>45821</v>
      </c>
      <c r="K45" s="1" t="s">
        <v>18</v>
      </c>
      <c r="L45" s="1" t="s">
        <v>25</v>
      </c>
    </row>
    <row r="46" spans="1:12" x14ac:dyDescent="0.25">
      <c r="A46" s="1" t="s">
        <v>102</v>
      </c>
      <c r="B46" s="1" t="s">
        <v>13</v>
      </c>
      <c r="C46" s="1" t="s">
        <v>22</v>
      </c>
      <c r="D46" s="1" t="s">
        <v>37</v>
      </c>
      <c r="E46" s="1" t="s">
        <v>44</v>
      </c>
      <c r="F46" s="1" t="s">
        <v>45</v>
      </c>
      <c r="G46" s="2">
        <v>2</v>
      </c>
      <c r="H46" s="3">
        <v>493.99</v>
      </c>
      <c r="I46" s="3">
        <v>987.98</v>
      </c>
      <c r="J46" s="4">
        <v>45985</v>
      </c>
      <c r="K46" s="1" t="s">
        <v>54</v>
      </c>
      <c r="L46" s="1" t="s">
        <v>56</v>
      </c>
    </row>
    <row r="47" spans="1:12" x14ac:dyDescent="0.25">
      <c r="A47" s="1" t="s">
        <v>103</v>
      </c>
      <c r="B47" s="1" t="s">
        <v>13</v>
      </c>
      <c r="C47" s="1" t="s">
        <v>22</v>
      </c>
      <c r="D47" s="1" t="s">
        <v>37</v>
      </c>
      <c r="E47" s="1" t="s">
        <v>44</v>
      </c>
      <c r="F47" s="1" t="s">
        <v>45</v>
      </c>
      <c r="G47" s="2">
        <v>2</v>
      </c>
      <c r="H47" s="3">
        <v>68.150000000000006</v>
      </c>
      <c r="I47" s="3">
        <v>136.30000000000001</v>
      </c>
      <c r="J47" s="4">
        <v>45926</v>
      </c>
      <c r="K47" s="1" t="s">
        <v>54</v>
      </c>
      <c r="L47" s="1" t="s">
        <v>19</v>
      </c>
    </row>
    <row r="48" spans="1:12" x14ac:dyDescent="0.25">
      <c r="A48" s="1" t="s">
        <v>104</v>
      </c>
      <c r="B48" s="1" t="s">
        <v>71</v>
      </c>
      <c r="C48" s="1" t="s">
        <v>22</v>
      </c>
      <c r="D48" s="1" t="s">
        <v>37</v>
      </c>
      <c r="E48" s="1" t="s">
        <v>23</v>
      </c>
      <c r="F48" s="1" t="s">
        <v>53</v>
      </c>
      <c r="G48" s="2">
        <v>5</v>
      </c>
      <c r="H48" s="3">
        <v>330.84</v>
      </c>
      <c r="I48" s="3">
        <v>1654.2</v>
      </c>
      <c r="J48" s="4">
        <v>45968</v>
      </c>
      <c r="K48" s="1" t="s">
        <v>38</v>
      </c>
      <c r="L48" s="1" t="s">
        <v>25</v>
      </c>
    </row>
    <row r="49" spans="1:12" x14ac:dyDescent="0.25">
      <c r="A49" s="1" t="s">
        <v>105</v>
      </c>
      <c r="B49" s="1" t="s">
        <v>21</v>
      </c>
      <c r="C49" s="1" t="s">
        <v>22</v>
      </c>
      <c r="D49" s="1" t="s">
        <v>32</v>
      </c>
      <c r="E49" s="1" t="s">
        <v>44</v>
      </c>
      <c r="F49" s="1" t="s">
        <v>62</v>
      </c>
      <c r="G49" s="2">
        <v>4</v>
      </c>
      <c r="H49" s="3">
        <v>17.170000000000002</v>
      </c>
      <c r="I49" s="3">
        <v>68.680000000000007</v>
      </c>
      <c r="J49" s="4">
        <v>45834</v>
      </c>
      <c r="K49" s="1" t="s">
        <v>38</v>
      </c>
      <c r="L49" s="1" t="s">
        <v>42</v>
      </c>
    </row>
    <row r="50" spans="1:12" x14ac:dyDescent="0.25">
      <c r="A50" s="1" t="s">
        <v>106</v>
      </c>
      <c r="B50" s="1" t="s">
        <v>40</v>
      </c>
      <c r="C50" s="1" t="s">
        <v>22</v>
      </c>
      <c r="D50" s="1" t="s">
        <v>83</v>
      </c>
      <c r="E50" s="1" t="s">
        <v>33</v>
      </c>
      <c r="F50" s="1" t="s">
        <v>72</v>
      </c>
      <c r="G50" s="2">
        <v>2</v>
      </c>
      <c r="H50" s="3">
        <v>499.51</v>
      </c>
      <c r="I50" s="3">
        <v>999.02</v>
      </c>
      <c r="J50" s="4">
        <v>45658</v>
      </c>
      <c r="K50" s="1" t="s">
        <v>18</v>
      </c>
      <c r="L50" s="1" t="s">
        <v>42</v>
      </c>
    </row>
    <row r="51" spans="1:12" x14ac:dyDescent="0.25">
      <c r="A51" s="1" t="s">
        <v>107</v>
      </c>
      <c r="B51" s="1" t="s">
        <v>82</v>
      </c>
      <c r="C51" s="1" t="s">
        <v>14</v>
      </c>
      <c r="D51" s="1" t="s">
        <v>28</v>
      </c>
      <c r="E51" s="1" t="s">
        <v>16</v>
      </c>
      <c r="F51" s="1" t="s">
        <v>17</v>
      </c>
      <c r="G51" s="2">
        <v>9</v>
      </c>
      <c r="H51" s="3">
        <v>256.67</v>
      </c>
      <c r="I51" s="3">
        <v>2310.0300000000002</v>
      </c>
      <c r="J51" s="4">
        <v>45921</v>
      </c>
      <c r="K51" s="1" t="s">
        <v>54</v>
      </c>
      <c r="L51" s="1" t="s">
        <v>29</v>
      </c>
    </row>
    <row r="52" spans="1:12" x14ac:dyDescent="0.25">
      <c r="A52" s="1" t="s">
        <v>108</v>
      </c>
      <c r="B52" s="1" t="s">
        <v>75</v>
      </c>
      <c r="C52" s="1" t="s">
        <v>22</v>
      </c>
      <c r="D52" s="1" t="s">
        <v>37</v>
      </c>
      <c r="E52" s="1" t="s">
        <v>44</v>
      </c>
      <c r="F52" s="1" t="s">
        <v>91</v>
      </c>
      <c r="G52" s="2">
        <v>6</v>
      </c>
      <c r="H52" s="3">
        <v>171.68</v>
      </c>
      <c r="I52" s="3">
        <v>1030.08</v>
      </c>
      <c r="J52" s="4">
        <v>45744</v>
      </c>
      <c r="K52" s="1" t="s">
        <v>54</v>
      </c>
      <c r="L52" s="1" t="s">
        <v>19</v>
      </c>
    </row>
    <row r="53" spans="1:12" x14ac:dyDescent="0.25">
      <c r="A53" s="1" t="s">
        <v>109</v>
      </c>
      <c r="B53" s="1" t="s">
        <v>13</v>
      </c>
      <c r="C53" s="1" t="s">
        <v>22</v>
      </c>
      <c r="D53" s="1" t="s">
        <v>59</v>
      </c>
      <c r="E53" s="1" t="s">
        <v>16</v>
      </c>
      <c r="F53" s="1" t="s">
        <v>98</v>
      </c>
      <c r="G53" s="2">
        <v>4</v>
      </c>
      <c r="H53" s="3">
        <v>278.95999999999998</v>
      </c>
      <c r="I53" s="3">
        <v>1115.8399999999999</v>
      </c>
      <c r="J53" s="4">
        <v>45800</v>
      </c>
      <c r="K53" s="1" t="s">
        <v>18</v>
      </c>
      <c r="L53" s="1" t="s">
        <v>56</v>
      </c>
    </row>
    <row r="54" spans="1:12" x14ac:dyDescent="0.25">
      <c r="A54" s="1" t="s">
        <v>110</v>
      </c>
      <c r="B54" s="1" t="s">
        <v>47</v>
      </c>
      <c r="C54" s="1" t="s">
        <v>22</v>
      </c>
      <c r="D54" s="1" t="s">
        <v>32</v>
      </c>
      <c r="E54" s="1" t="s">
        <v>23</v>
      </c>
      <c r="F54" s="1" t="s">
        <v>24</v>
      </c>
      <c r="G54" s="2">
        <v>4</v>
      </c>
      <c r="H54" s="3">
        <v>312.23</v>
      </c>
      <c r="I54" s="3">
        <v>1248.92</v>
      </c>
      <c r="J54" s="4">
        <v>45910</v>
      </c>
      <c r="K54" s="1" t="s">
        <v>38</v>
      </c>
      <c r="L54" s="1" t="s">
        <v>29</v>
      </c>
    </row>
    <row r="55" spans="1:12" x14ac:dyDescent="0.25">
      <c r="A55" s="1" t="s">
        <v>111</v>
      </c>
      <c r="B55" s="1" t="s">
        <v>71</v>
      </c>
      <c r="C55" s="1" t="s">
        <v>22</v>
      </c>
      <c r="D55" s="1" t="s">
        <v>37</v>
      </c>
      <c r="E55" s="1" t="s">
        <v>33</v>
      </c>
      <c r="F55" s="1" t="s">
        <v>60</v>
      </c>
      <c r="G55" s="2">
        <v>6</v>
      </c>
      <c r="H55" s="3">
        <v>491.06</v>
      </c>
      <c r="I55" s="3">
        <v>2946.36</v>
      </c>
      <c r="J55" s="4">
        <v>45723</v>
      </c>
      <c r="K55" s="1" t="s">
        <v>38</v>
      </c>
      <c r="L55" s="1" t="s">
        <v>29</v>
      </c>
    </row>
    <row r="56" spans="1:12" x14ac:dyDescent="0.25">
      <c r="A56" s="1" t="s">
        <v>112</v>
      </c>
      <c r="B56" s="1" t="s">
        <v>82</v>
      </c>
      <c r="C56" s="1" t="s">
        <v>22</v>
      </c>
      <c r="D56" s="1" t="s">
        <v>15</v>
      </c>
      <c r="E56" s="1" t="s">
        <v>33</v>
      </c>
      <c r="F56" s="1" t="s">
        <v>60</v>
      </c>
      <c r="G56" s="2">
        <v>5</v>
      </c>
      <c r="H56" s="3">
        <v>134.44</v>
      </c>
      <c r="I56" s="3">
        <v>672.2</v>
      </c>
      <c r="J56" s="4">
        <v>45721</v>
      </c>
      <c r="K56" s="1" t="s">
        <v>54</v>
      </c>
      <c r="L56" s="1" t="s">
        <v>56</v>
      </c>
    </row>
    <row r="57" spans="1:12" x14ac:dyDescent="0.25">
      <c r="A57" s="1" t="s">
        <v>113</v>
      </c>
      <c r="B57" s="1" t="s">
        <v>21</v>
      </c>
      <c r="C57" s="1" t="s">
        <v>22</v>
      </c>
      <c r="D57" s="1" t="s">
        <v>28</v>
      </c>
      <c r="E57" s="1" t="s">
        <v>33</v>
      </c>
      <c r="F57" s="1" t="s">
        <v>72</v>
      </c>
      <c r="G57" s="2">
        <v>9</v>
      </c>
      <c r="H57" s="3">
        <v>136.19</v>
      </c>
      <c r="I57" s="3">
        <v>1225.71</v>
      </c>
      <c r="J57" s="4">
        <v>45954</v>
      </c>
      <c r="K57" s="1" t="s">
        <v>38</v>
      </c>
      <c r="L57" s="1" t="s">
        <v>19</v>
      </c>
    </row>
    <row r="58" spans="1:12" x14ac:dyDescent="0.25">
      <c r="A58" s="1" t="s">
        <v>114</v>
      </c>
      <c r="B58" s="1" t="s">
        <v>64</v>
      </c>
      <c r="C58" s="1" t="s">
        <v>14</v>
      </c>
      <c r="D58" s="1" t="s">
        <v>37</v>
      </c>
      <c r="E58" s="1" t="s">
        <v>16</v>
      </c>
      <c r="F58" s="1" t="s">
        <v>115</v>
      </c>
      <c r="G58" s="2">
        <v>1</v>
      </c>
      <c r="H58" s="3">
        <v>445.52</v>
      </c>
      <c r="I58" s="3">
        <v>445.52</v>
      </c>
      <c r="J58" s="4">
        <v>45708</v>
      </c>
      <c r="K58" s="1" t="s">
        <v>54</v>
      </c>
      <c r="L58" s="1" t="s">
        <v>56</v>
      </c>
    </row>
    <row r="59" spans="1:12" x14ac:dyDescent="0.25">
      <c r="A59" s="1" t="s">
        <v>116</v>
      </c>
      <c r="B59" s="1" t="s">
        <v>64</v>
      </c>
      <c r="C59" s="1" t="s">
        <v>14</v>
      </c>
      <c r="D59" s="1" t="s">
        <v>15</v>
      </c>
      <c r="E59" s="1" t="s">
        <v>16</v>
      </c>
      <c r="F59" s="1" t="s">
        <v>17</v>
      </c>
      <c r="G59" s="2">
        <v>1</v>
      </c>
      <c r="H59" s="3">
        <v>86.47</v>
      </c>
      <c r="I59" s="3">
        <v>86.47</v>
      </c>
      <c r="J59" s="4">
        <v>45839</v>
      </c>
      <c r="K59" s="1" t="s">
        <v>18</v>
      </c>
      <c r="L59" s="1" t="s">
        <v>19</v>
      </c>
    </row>
    <row r="60" spans="1:12" x14ac:dyDescent="0.25">
      <c r="A60" s="1" t="s">
        <v>117</v>
      </c>
      <c r="B60" s="1" t="s">
        <v>71</v>
      </c>
      <c r="C60" s="1" t="s">
        <v>14</v>
      </c>
      <c r="D60" s="1" t="s">
        <v>83</v>
      </c>
      <c r="E60" s="1" t="s">
        <v>33</v>
      </c>
      <c r="F60" s="1" t="s">
        <v>60</v>
      </c>
      <c r="G60" s="2">
        <v>5</v>
      </c>
      <c r="H60" s="3">
        <v>45.26</v>
      </c>
      <c r="I60" s="3">
        <v>226.3</v>
      </c>
      <c r="J60" s="4">
        <v>45830</v>
      </c>
      <c r="K60" s="1" t="s">
        <v>35</v>
      </c>
      <c r="L60" s="1" t="s">
        <v>56</v>
      </c>
    </row>
    <row r="61" spans="1:12" x14ac:dyDescent="0.25">
      <c r="A61" s="1" t="s">
        <v>118</v>
      </c>
      <c r="B61" s="1" t="s">
        <v>31</v>
      </c>
      <c r="C61" s="1" t="s">
        <v>14</v>
      </c>
      <c r="D61" s="1" t="s">
        <v>59</v>
      </c>
      <c r="E61" s="1" t="s">
        <v>33</v>
      </c>
      <c r="F61" s="1" t="s">
        <v>72</v>
      </c>
      <c r="G61" s="2">
        <v>9</v>
      </c>
      <c r="H61" s="3">
        <v>326.58999999999997</v>
      </c>
      <c r="I61" s="3">
        <v>2939.31</v>
      </c>
      <c r="J61" s="4">
        <v>45688</v>
      </c>
      <c r="K61" s="1" t="s">
        <v>38</v>
      </c>
      <c r="L61" s="1" t="s">
        <v>56</v>
      </c>
    </row>
    <row r="62" spans="1:12" x14ac:dyDescent="0.25">
      <c r="A62" s="1" t="s">
        <v>119</v>
      </c>
      <c r="B62" s="1" t="s">
        <v>27</v>
      </c>
      <c r="C62" s="1" t="s">
        <v>14</v>
      </c>
      <c r="D62" s="1" t="s">
        <v>32</v>
      </c>
      <c r="E62" s="1" t="s">
        <v>16</v>
      </c>
      <c r="F62" s="1" t="s">
        <v>115</v>
      </c>
      <c r="G62" s="2">
        <v>4</v>
      </c>
      <c r="H62" s="3">
        <v>175.53</v>
      </c>
      <c r="I62" s="3">
        <v>702.12</v>
      </c>
      <c r="J62" s="4">
        <v>45805</v>
      </c>
      <c r="K62" s="1" t="s">
        <v>54</v>
      </c>
      <c r="L62" s="1" t="s">
        <v>42</v>
      </c>
    </row>
    <row r="63" spans="1:12" x14ac:dyDescent="0.25">
      <c r="A63" s="1" t="s">
        <v>120</v>
      </c>
      <c r="B63" s="1" t="s">
        <v>75</v>
      </c>
      <c r="C63" s="1" t="s">
        <v>14</v>
      </c>
      <c r="D63" s="1" t="s">
        <v>28</v>
      </c>
      <c r="E63" s="1" t="s">
        <v>33</v>
      </c>
      <c r="F63" s="1" t="s">
        <v>72</v>
      </c>
      <c r="G63" s="2">
        <v>1</v>
      </c>
      <c r="H63" s="3">
        <v>354.01</v>
      </c>
      <c r="I63" s="3">
        <v>354.01</v>
      </c>
      <c r="J63" s="4">
        <v>45690</v>
      </c>
      <c r="K63" s="1" t="s">
        <v>35</v>
      </c>
      <c r="L63" s="1" t="s">
        <v>25</v>
      </c>
    </row>
    <row r="64" spans="1:12" x14ac:dyDescent="0.25">
      <c r="A64" s="1" t="s">
        <v>121</v>
      </c>
      <c r="B64" s="1" t="s">
        <v>71</v>
      </c>
      <c r="C64" s="1" t="s">
        <v>14</v>
      </c>
      <c r="D64" s="1" t="s">
        <v>83</v>
      </c>
      <c r="E64" s="1" t="s">
        <v>16</v>
      </c>
      <c r="F64" s="1" t="s">
        <v>17</v>
      </c>
      <c r="G64" s="2">
        <v>7</v>
      </c>
      <c r="H64" s="3">
        <v>240.93</v>
      </c>
      <c r="I64" s="3">
        <v>1686.51</v>
      </c>
      <c r="J64" s="4">
        <v>45877</v>
      </c>
      <c r="K64" s="1" t="s">
        <v>18</v>
      </c>
      <c r="L64" s="1" t="s">
        <v>29</v>
      </c>
    </row>
    <row r="65" spans="1:12" x14ac:dyDescent="0.25">
      <c r="A65" s="1" t="s">
        <v>122</v>
      </c>
      <c r="B65" s="1" t="s">
        <v>82</v>
      </c>
      <c r="C65" s="1" t="s">
        <v>22</v>
      </c>
      <c r="D65" s="1" t="s">
        <v>68</v>
      </c>
      <c r="E65" s="1" t="s">
        <v>33</v>
      </c>
      <c r="F65" s="1" t="s">
        <v>60</v>
      </c>
      <c r="G65" s="2">
        <v>7</v>
      </c>
      <c r="H65" s="3">
        <v>383.41</v>
      </c>
      <c r="I65" s="3">
        <v>2683.87</v>
      </c>
      <c r="J65" s="4">
        <v>45701</v>
      </c>
      <c r="K65" s="1" t="s">
        <v>18</v>
      </c>
      <c r="L65" s="1" t="s">
        <v>56</v>
      </c>
    </row>
    <row r="66" spans="1:12" x14ac:dyDescent="0.25">
      <c r="A66" s="1" t="s">
        <v>123</v>
      </c>
      <c r="B66" s="1" t="s">
        <v>40</v>
      </c>
      <c r="C66" s="1" t="s">
        <v>14</v>
      </c>
      <c r="D66" s="1" t="s">
        <v>28</v>
      </c>
      <c r="E66" s="1" t="s">
        <v>33</v>
      </c>
      <c r="F66" s="1" t="s">
        <v>60</v>
      </c>
      <c r="G66" s="2">
        <v>8</v>
      </c>
      <c r="H66" s="3">
        <v>473.5</v>
      </c>
      <c r="I66" s="3">
        <v>3788</v>
      </c>
      <c r="J66" s="4">
        <v>45954</v>
      </c>
      <c r="K66" s="1" t="s">
        <v>35</v>
      </c>
      <c r="L66" s="1" t="s">
        <v>56</v>
      </c>
    </row>
    <row r="67" spans="1:12" x14ac:dyDescent="0.25">
      <c r="A67" s="1" t="s">
        <v>124</v>
      </c>
      <c r="B67" s="1" t="s">
        <v>21</v>
      </c>
      <c r="C67" s="1" t="s">
        <v>22</v>
      </c>
      <c r="D67" s="1" t="s">
        <v>28</v>
      </c>
      <c r="E67" s="1" t="s">
        <v>44</v>
      </c>
      <c r="F67" s="1" t="s">
        <v>45</v>
      </c>
      <c r="G67" s="2">
        <v>5</v>
      </c>
      <c r="H67" s="3">
        <v>477.31</v>
      </c>
      <c r="I67" s="3">
        <v>2386.5500000000002</v>
      </c>
      <c r="J67" s="4">
        <v>45912</v>
      </c>
      <c r="K67" s="1" t="s">
        <v>35</v>
      </c>
      <c r="L67" s="1" t="s">
        <v>56</v>
      </c>
    </row>
    <row r="68" spans="1:12" x14ac:dyDescent="0.25">
      <c r="A68" s="1" t="s">
        <v>125</v>
      </c>
      <c r="B68" s="1" t="s">
        <v>75</v>
      </c>
      <c r="C68" s="1" t="s">
        <v>22</v>
      </c>
      <c r="D68" s="1" t="s">
        <v>83</v>
      </c>
      <c r="E68" s="1" t="s">
        <v>33</v>
      </c>
      <c r="F68" s="1" t="s">
        <v>72</v>
      </c>
      <c r="G68" s="2">
        <v>7</v>
      </c>
      <c r="H68" s="3">
        <v>422.13</v>
      </c>
      <c r="I68" s="3">
        <v>2954.91</v>
      </c>
      <c r="J68" s="4">
        <v>45750</v>
      </c>
      <c r="K68" s="1" t="s">
        <v>38</v>
      </c>
      <c r="L68" s="1" t="s">
        <v>29</v>
      </c>
    </row>
    <row r="69" spans="1:12" x14ac:dyDescent="0.25">
      <c r="A69" s="1" t="s">
        <v>126</v>
      </c>
      <c r="B69" s="1" t="s">
        <v>75</v>
      </c>
      <c r="C69" s="1" t="s">
        <v>14</v>
      </c>
      <c r="D69" s="1" t="s">
        <v>37</v>
      </c>
      <c r="E69" s="1" t="s">
        <v>33</v>
      </c>
      <c r="F69" s="1" t="s">
        <v>34</v>
      </c>
      <c r="G69" s="2">
        <v>8</v>
      </c>
      <c r="H69" s="3">
        <v>72.180000000000007</v>
      </c>
      <c r="I69" s="3">
        <v>577.44000000000005</v>
      </c>
      <c r="J69" s="4">
        <v>45772</v>
      </c>
      <c r="K69" s="1" t="s">
        <v>54</v>
      </c>
      <c r="L69" s="1" t="s">
        <v>56</v>
      </c>
    </row>
    <row r="70" spans="1:12" x14ac:dyDescent="0.25">
      <c r="A70" s="1" t="s">
        <v>127</v>
      </c>
      <c r="B70" s="1" t="s">
        <v>82</v>
      </c>
      <c r="C70" s="1" t="s">
        <v>22</v>
      </c>
      <c r="D70" s="1" t="s">
        <v>68</v>
      </c>
      <c r="E70" s="1" t="s">
        <v>33</v>
      </c>
      <c r="F70" s="1" t="s">
        <v>60</v>
      </c>
      <c r="G70" s="2">
        <v>4</v>
      </c>
      <c r="H70" s="3">
        <v>214.91</v>
      </c>
      <c r="I70" s="3">
        <v>859.64</v>
      </c>
      <c r="J70" s="4">
        <v>45777</v>
      </c>
      <c r="K70" s="1" t="s">
        <v>54</v>
      </c>
      <c r="L70" s="1" t="s">
        <v>56</v>
      </c>
    </row>
    <row r="71" spans="1:12" x14ac:dyDescent="0.25">
      <c r="A71" s="1" t="s">
        <v>128</v>
      </c>
      <c r="B71" s="1" t="s">
        <v>27</v>
      </c>
      <c r="C71" s="1" t="s">
        <v>22</v>
      </c>
      <c r="D71" s="1" t="s">
        <v>68</v>
      </c>
      <c r="E71" s="1" t="s">
        <v>16</v>
      </c>
      <c r="F71" s="1" t="s">
        <v>115</v>
      </c>
      <c r="G71" s="2">
        <v>5</v>
      </c>
      <c r="H71" s="3">
        <v>245.58</v>
      </c>
      <c r="I71" s="3">
        <v>1227.9000000000001</v>
      </c>
      <c r="J71" s="4">
        <v>45930</v>
      </c>
      <c r="K71" s="1" t="s">
        <v>54</v>
      </c>
      <c r="L71" s="1" t="s">
        <v>25</v>
      </c>
    </row>
    <row r="72" spans="1:12" x14ac:dyDescent="0.25">
      <c r="A72" s="1" t="s">
        <v>129</v>
      </c>
      <c r="B72" s="1" t="s">
        <v>47</v>
      </c>
      <c r="C72" s="1" t="s">
        <v>22</v>
      </c>
      <c r="D72" s="1" t="s">
        <v>32</v>
      </c>
      <c r="E72" s="1" t="s">
        <v>16</v>
      </c>
      <c r="F72" s="1" t="s">
        <v>17</v>
      </c>
      <c r="G72" s="2">
        <v>1</v>
      </c>
      <c r="H72" s="3">
        <v>377.15</v>
      </c>
      <c r="I72" s="3">
        <v>377.15</v>
      </c>
      <c r="J72" s="4">
        <v>46011</v>
      </c>
      <c r="K72" s="1" t="s">
        <v>38</v>
      </c>
      <c r="L72" s="1" t="s">
        <v>29</v>
      </c>
    </row>
    <row r="73" spans="1:12" x14ac:dyDescent="0.25">
      <c r="A73" s="1" t="s">
        <v>130</v>
      </c>
      <c r="B73" s="1" t="s">
        <v>31</v>
      </c>
      <c r="C73" s="1" t="s">
        <v>14</v>
      </c>
      <c r="D73" s="1" t="s">
        <v>28</v>
      </c>
      <c r="E73" s="1" t="s">
        <v>33</v>
      </c>
      <c r="F73" s="1" t="s">
        <v>72</v>
      </c>
      <c r="G73" s="2">
        <v>2</v>
      </c>
      <c r="H73" s="3">
        <v>301.54000000000002</v>
      </c>
      <c r="I73" s="3">
        <v>603.08000000000004</v>
      </c>
      <c r="J73" s="4">
        <v>46007</v>
      </c>
      <c r="K73" s="1" t="s">
        <v>35</v>
      </c>
      <c r="L73" s="1" t="s">
        <v>42</v>
      </c>
    </row>
    <row r="74" spans="1:12" x14ac:dyDescent="0.25">
      <c r="A74" s="1" t="s">
        <v>131</v>
      </c>
      <c r="B74" s="1" t="s">
        <v>71</v>
      </c>
      <c r="C74" s="1" t="s">
        <v>14</v>
      </c>
      <c r="D74" s="1" t="s">
        <v>28</v>
      </c>
      <c r="E74" s="1" t="s">
        <v>44</v>
      </c>
      <c r="F74" s="1" t="s">
        <v>45</v>
      </c>
      <c r="G74" s="2">
        <v>5</v>
      </c>
      <c r="H74" s="3">
        <v>445.09</v>
      </c>
      <c r="I74" s="3">
        <v>2225.4499999999998</v>
      </c>
      <c r="J74" s="4">
        <v>45885</v>
      </c>
      <c r="K74" s="1" t="s">
        <v>54</v>
      </c>
      <c r="L74" s="1" t="s">
        <v>56</v>
      </c>
    </row>
    <row r="75" spans="1:12" x14ac:dyDescent="0.25">
      <c r="A75" s="1" t="s">
        <v>132</v>
      </c>
      <c r="B75" s="1" t="s">
        <v>27</v>
      </c>
      <c r="C75" s="1" t="s">
        <v>22</v>
      </c>
      <c r="D75" s="1" t="s">
        <v>37</v>
      </c>
      <c r="E75" s="1" t="s">
        <v>33</v>
      </c>
      <c r="F75" s="1" t="s">
        <v>60</v>
      </c>
      <c r="G75" s="2">
        <v>4</v>
      </c>
      <c r="H75" s="3">
        <v>343.83</v>
      </c>
      <c r="I75" s="3">
        <v>1375.32</v>
      </c>
      <c r="J75" s="4">
        <v>45670</v>
      </c>
      <c r="K75" s="1" t="s">
        <v>38</v>
      </c>
      <c r="L75" s="1" t="s">
        <v>19</v>
      </c>
    </row>
    <row r="76" spans="1:12" x14ac:dyDescent="0.25">
      <c r="A76" s="1" t="s">
        <v>133</v>
      </c>
      <c r="B76" s="1" t="s">
        <v>27</v>
      </c>
      <c r="C76" s="1" t="s">
        <v>14</v>
      </c>
      <c r="D76" s="1" t="s">
        <v>28</v>
      </c>
      <c r="E76" s="1" t="s">
        <v>23</v>
      </c>
      <c r="F76" s="1" t="s">
        <v>53</v>
      </c>
      <c r="G76" s="2">
        <v>1</v>
      </c>
      <c r="H76" s="3">
        <v>400.93</v>
      </c>
      <c r="I76" s="3">
        <v>400.93</v>
      </c>
      <c r="J76" s="4">
        <v>45717</v>
      </c>
      <c r="K76" s="1" t="s">
        <v>35</v>
      </c>
      <c r="L76" s="1" t="s">
        <v>42</v>
      </c>
    </row>
    <row r="77" spans="1:12" x14ac:dyDescent="0.25">
      <c r="A77" s="1" t="s">
        <v>134</v>
      </c>
      <c r="B77" s="1" t="s">
        <v>82</v>
      </c>
      <c r="C77" s="1" t="s">
        <v>14</v>
      </c>
      <c r="D77" s="1" t="s">
        <v>32</v>
      </c>
      <c r="E77" s="1" t="s">
        <v>16</v>
      </c>
      <c r="F77" s="1" t="s">
        <v>17</v>
      </c>
      <c r="G77" s="2">
        <v>6</v>
      </c>
      <c r="H77" s="3">
        <v>74.52</v>
      </c>
      <c r="I77" s="3">
        <v>447.12</v>
      </c>
      <c r="J77" s="4">
        <v>45870</v>
      </c>
      <c r="K77" s="1" t="s">
        <v>18</v>
      </c>
      <c r="L77" s="1" t="s">
        <v>19</v>
      </c>
    </row>
    <row r="78" spans="1:12" x14ac:dyDescent="0.25">
      <c r="A78" s="1" t="s">
        <v>135</v>
      </c>
      <c r="B78" s="1" t="s">
        <v>47</v>
      </c>
      <c r="C78" s="1" t="s">
        <v>22</v>
      </c>
      <c r="D78" s="1" t="s">
        <v>28</v>
      </c>
      <c r="E78" s="1" t="s">
        <v>23</v>
      </c>
      <c r="F78" s="1" t="s">
        <v>53</v>
      </c>
      <c r="G78" s="2">
        <v>10</v>
      </c>
      <c r="H78" s="3">
        <v>312.83</v>
      </c>
      <c r="I78" s="3">
        <v>3128.3</v>
      </c>
      <c r="J78" s="4">
        <v>45764</v>
      </c>
      <c r="K78" s="1" t="s">
        <v>38</v>
      </c>
      <c r="L78" s="1" t="s">
        <v>42</v>
      </c>
    </row>
    <row r="79" spans="1:12" x14ac:dyDescent="0.25">
      <c r="A79" s="1" t="s">
        <v>136</v>
      </c>
      <c r="B79" s="1" t="s">
        <v>31</v>
      </c>
      <c r="C79" s="1" t="s">
        <v>22</v>
      </c>
      <c r="D79" s="1" t="s">
        <v>15</v>
      </c>
      <c r="E79" s="1" t="s">
        <v>23</v>
      </c>
      <c r="F79" s="1" t="s">
        <v>53</v>
      </c>
      <c r="G79" s="2">
        <v>5</v>
      </c>
      <c r="H79" s="3">
        <v>327.24</v>
      </c>
      <c r="I79" s="3">
        <v>1636.2</v>
      </c>
      <c r="J79" s="4">
        <v>45896</v>
      </c>
      <c r="K79" s="1" t="s">
        <v>38</v>
      </c>
      <c r="L79" s="1" t="s">
        <v>29</v>
      </c>
    </row>
    <row r="80" spans="1:12" x14ac:dyDescent="0.25">
      <c r="A80" s="1" t="s">
        <v>137</v>
      </c>
      <c r="B80" s="1" t="s">
        <v>13</v>
      </c>
      <c r="C80" s="1" t="s">
        <v>14</v>
      </c>
      <c r="D80" s="1" t="s">
        <v>68</v>
      </c>
      <c r="E80" s="1" t="s">
        <v>23</v>
      </c>
      <c r="F80" s="1" t="s">
        <v>24</v>
      </c>
      <c r="G80" s="2">
        <v>8</v>
      </c>
      <c r="H80" s="3">
        <v>68.790000000000006</v>
      </c>
      <c r="I80" s="3">
        <v>550.32000000000005</v>
      </c>
      <c r="J80" s="4">
        <v>45972</v>
      </c>
      <c r="K80" s="1" t="s">
        <v>38</v>
      </c>
      <c r="L80" s="1" t="s">
        <v>19</v>
      </c>
    </row>
    <row r="81" spans="1:12" x14ac:dyDescent="0.25">
      <c r="A81" s="1" t="s">
        <v>138</v>
      </c>
      <c r="B81" s="1" t="s">
        <v>13</v>
      </c>
      <c r="C81" s="1" t="s">
        <v>14</v>
      </c>
      <c r="D81" s="1" t="s">
        <v>68</v>
      </c>
      <c r="E81" s="1" t="s">
        <v>44</v>
      </c>
      <c r="F81" s="1" t="s">
        <v>91</v>
      </c>
      <c r="G81" s="2">
        <v>4</v>
      </c>
      <c r="H81" s="3">
        <v>10.82</v>
      </c>
      <c r="I81" s="3">
        <v>43.28</v>
      </c>
      <c r="J81" s="4">
        <v>45779</v>
      </c>
      <c r="K81" s="1" t="s">
        <v>18</v>
      </c>
      <c r="L81" s="1" t="s">
        <v>56</v>
      </c>
    </row>
    <row r="82" spans="1:12" x14ac:dyDescent="0.25">
      <c r="A82" s="1" t="s">
        <v>139</v>
      </c>
      <c r="B82" s="1" t="s">
        <v>13</v>
      </c>
      <c r="C82" s="1" t="s">
        <v>22</v>
      </c>
      <c r="D82" s="1" t="s">
        <v>28</v>
      </c>
      <c r="E82" s="1" t="s">
        <v>44</v>
      </c>
      <c r="F82" s="1" t="s">
        <v>45</v>
      </c>
      <c r="G82" s="2">
        <v>1</v>
      </c>
      <c r="H82" s="3">
        <v>374.82</v>
      </c>
      <c r="I82" s="3">
        <v>374.82</v>
      </c>
      <c r="J82" s="4">
        <v>45931</v>
      </c>
      <c r="K82" s="1" t="s">
        <v>18</v>
      </c>
      <c r="L82" s="1" t="s">
        <v>42</v>
      </c>
    </row>
    <row r="83" spans="1:12" x14ac:dyDescent="0.25">
      <c r="A83" s="1" t="s">
        <v>140</v>
      </c>
      <c r="B83" s="1" t="s">
        <v>13</v>
      </c>
      <c r="C83" s="1" t="s">
        <v>14</v>
      </c>
      <c r="D83" s="1" t="s">
        <v>32</v>
      </c>
      <c r="E83" s="1" t="s">
        <v>33</v>
      </c>
      <c r="F83" s="1" t="s">
        <v>60</v>
      </c>
      <c r="G83" s="2">
        <v>1</v>
      </c>
      <c r="H83" s="3">
        <v>488.48</v>
      </c>
      <c r="I83" s="3">
        <v>488.48</v>
      </c>
      <c r="J83" s="4">
        <v>45692</v>
      </c>
      <c r="K83" s="1" t="s">
        <v>35</v>
      </c>
      <c r="L83" s="1" t="s">
        <v>42</v>
      </c>
    </row>
    <row r="84" spans="1:12" x14ac:dyDescent="0.25">
      <c r="A84" s="1" t="s">
        <v>141</v>
      </c>
      <c r="B84" s="1" t="s">
        <v>75</v>
      </c>
      <c r="C84" s="1" t="s">
        <v>14</v>
      </c>
      <c r="D84" s="1" t="s">
        <v>15</v>
      </c>
      <c r="E84" s="1" t="s">
        <v>16</v>
      </c>
      <c r="F84" s="1" t="s">
        <v>98</v>
      </c>
      <c r="G84" s="2">
        <v>7</v>
      </c>
      <c r="H84" s="3">
        <v>78.91</v>
      </c>
      <c r="I84" s="3">
        <v>552.37</v>
      </c>
      <c r="J84" s="4">
        <v>45920</v>
      </c>
      <c r="K84" s="1" t="s">
        <v>18</v>
      </c>
      <c r="L84" s="1" t="s">
        <v>56</v>
      </c>
    </row>
    <row r="85" spans="1:12" x14ac:dyDescent="0.25">
      <c r="A85" s="1" t="s">
        <v>142</v>
      </c>
      <c r="B85" s="1" t="s">
        <v>27</v>
      </c>
      <c r="C85" s="1" t="s">
        <v>14</v>
      </c>
      <c r="D85" s="1" t="s">
        <v>37</v>
      </c>
      <c r="E85" s="1" t="s">
        <v>44</v>
      </c>
      <c r="F85" s="1" t="s">
        <v>62</v>
      </c>
      <c r="G85" s="2">
        <v>9</v>
      </c>
      <c r="H85" s="3">
        <v>15.82</v>
      </c>
      <c r="I85" s="3">
        <v>142.38</v>
      </c>
      <c r="J85" s="4">
        <v>45908</v>
      </c>
      <c r="K85" s="1" t="s">
        <v>18</v>
      </c>
      <c r="L85" s="1" t="s">
        <v>56</v>
      </c>
    </row>
    <row r="86" spans="1:12" x14ac:dyDescent="0.25">
      <c r="A86" s="1" t="s">
        <v>143</v>
      </c>
      <c r="B86" s="1" t="s">
        <v>27</v>
      </c>
      <c r="C86" s="1" t="s">
        <v>14</v>
      </c>
      <c r="D86" s="1" t="s">
        <v>28</v>
      </c>
      <c r="E86" s="1" t="s">
        <v>16</v>
      </c>
      <c r="F86" s="1" t="s">
        <v>98</v>
      </c>
      <c r="G86" s="2">
        <v>1</v>
      </c>
      <c r="H86" s="3">
        <v>123.37</v>
      </c>
      <c r="I86" s="3">
        <v>123.37</v>
      </c>
      <c r="J86" s="4">
        <v>45875</v>
      </c>
      <c r="K86" s="1" t="s">
        <v>38</v>
      </c>
      <c r="L86" s="1" t="s">
        <v>25</v>
      </c>
    </row>
    <row r="87" spans="1:12" x14ac:dyDescent="0.25">
      <c r="A87" s="1" t="s">
        <v>144</v>
      </c>
      <c r="B87" s="1" t="s">
        <v>13</v>
      </c>
      <c r="C87" s="1" t="s">
        <v>22</v>
      </c>
      <c r="D87" s="1" t="s">
        <v>59</v>
      </c>
      <c r="E87" s="1" t="s">
        <v>44</v>
      </c>
      <c r="F87" s="1" t="s">
        <v>62</v>
      </c>
      <c r="G87" s="2">
        <v>2</v>
      </c>
      <c r="H87" s="3">
        <v>175.69</v>
      </c>
      <c r="I87" s="3">
        <v>351.38</v>
      </c>
      <c r="J87" s="4">
        <v>45974</v>
      </c>
      <c r="K87" s="1" t="s">
        <v>54</v>
      </c>
      <c r="L87" s="1" t="s">
        <v>29</v>
      </c>
    </row>
    <row r="88" spans="1:12" x14ac:dyDescent="0.25">
      <c r="A88" s="1" t="s">
        <v>145</v>
      </c>
      <c r="B88" s="1" t="s">
        <v>71</v>
      </c>
      <c r="C88" s="1" t="s">
        <v>22</v>
      </c>
      <c r="D88" s="1" t="s">
        <v>28</v>
      </c>
      <c r="E88" s="1" t="s">
        <v>33</v>
      </c>
      <c r="F88" s="1" t="s">
        <v>60</v>
      </c>
      <c r="G88" s="2">
        <v>8</v>
      </c>
      <c r="H88" s="3">
        <v>37.950000000000003</v>
      </c>
      <c r="I88" s="3">
        <v>303.60000000000002</v>
      </c>
      <c r="J88" s="4">
        <v>45770</v>
      </c>
      <c r="K88" s="1" t="s">
        <v>35</v>
      </c>
      <c r="L88" s="1" t="s">
        <v>42</v>
      </c>
    </row>
    <row r="89" spans="1:12" x14ac:dyDescent="0.25">
      <c r="A89" s="1" t="s">
        <v>146</v>
      </c>
      <c r="B89" s="1" t="s">
        <v>31</v>
      </c>
      <c r="C89" s="1" t="s">
        <v>14</v>
      </c>
      <c r="D89" s="1" t="s">
        <v>28</v>
      </c>
      <c r="E89" s="1" t="s">
        <v>23</v>
      </c>
      <c r="F89" s="1" t="s">
        <v>53</v>
      </c>
      <c r="G89" s="2">
        <v>1</v>
      </c>
      <c r="H89" s="3">
        <v>447.14</v>
      </c>
      <c r="I89" s="3">
        <v>447.14</v>
      </c>
      <c r="J89" s="4">
        <v>45883</v>
      </c>
      <c r="K89" s="1" t="s">
        <v>54</v>
      </c>
      <c r="L89" s="1" t="s">
        <v>25</v>
      </c>
    </row>
    <row r="90" spans="1:12" x14ac:dyDescent="0.25">
      <c r="A90" s="1" t="s">
        <v>147</v>
      </c>
      <c r="B90" s="1" t="s">
        <v>27</v>
      </c>
      <c r="C90" s="1" t="s">
        <v>22</v>
      </c>
      <c r="D90" s="1" t="s">
        <v>37</v>
      </c>
      <c r="E90" s="1" t="s">
        <v>33</v>
      </c>
      <c r="F90" s="1" t="s">
        <v>72</v>
      </c>
      <c r="G90" s="2">
        <v>2</v>
      </c>
      <c r="H90" s="3">
        <v>58.49</v>
      </c>
      <c r="I90" s="3">
        <v>116.98</v>
      </c>
      <c r="J90" s="4">
        <v>45739</v>
      </c>
      <c r="K90" s="1" t="s">
        <v>54</v>
      </c>
      <c r="L90" s="1" t="s">
        <v>42</v>
      </c>
    </row>
    <row r="91" spans="1:12" x14ac:dyDescent="0.25">
      <c r="A91" s="1" t="s">
        <v>148</v>
      </c>
      <c r="B91" s="1" t="s">
        <v>47</v>
      </c>
      <c r="C91" s="1" t="s">
        <v>22</v>
      </c>
      <c r="D91" s="1" t="s">
        <v>59</v>
      </c>
      <c r="E91" s="1" t="s">
        <v>33</v>
      </c>
      <c r="F91" s="1" t="s">
        <v>34</v>
      </c>
      <c r="G91" s="2">
        <v>10</v>
      </c>
      <c r="H91" s="3">
        <v>462.19</v>
      </c>
      <c r="I91" s="3">
        <v>4621.8999999999996</v>
      </c>
      <c r="J91" s="4">
        <v>45774</v>
      </c>
      <c r="K91" s="1" t="s">
        <v>38</v>
      </c>
      <c r="L91" s="1" t="s">
        <v>29</v>
      </c>
    </row>
    <row r="92" spans="1:12" x14ac:dyDescent="0.25">
      <c r="A92" s="1" t="s">
        <v>149</v>
      </c>
      <c r="B92" s="1" t="s">
        <v>71</v>
      </c>
      <c r="C92" s="1" t="s">
        <v>22</v>
      </c>
      <c r="D92" s="1" t="s">
        <v>15</v>
      </c>
      <c r="E92" s="1" t="s">
        <v>44</v>
      </c>
      <c r="F92" s="1" t="s">
        <v>62</v>
      </c>
      <c r="G92" s="2">
        <v>5</v>
      </c>
      <c r="H92" s="3">
        <v>215.42</v>
      </c>
      <c r="I92" s="3">
        <v>1077.0999999999999</v>
      </c>
      <c r="J92" s="4">
        <v>45941</v>
      </c>
      <c r="K92" s="1" t="s">
        <v>38</v>
      </c>
      <c r="L92" s="1" t="s">
        <v>29</v>
      </c>
    </row>
    <row r="93" spans="1:12" x14ac:dyDescent="0.25">
      <c r="A93" s="1" t="s">
        <v>150</v>
      </c>
      <c r="B93" s="1" t="s">
        <v>21</v>
      </c>
      <c r="C93" s="1" t="s">
        <v>22</v>
      </c>
      <c r="D93" s="1" t="s">
        <v>68</v>
      </c>
      <c r="E93" s="1" t="s">
        <v>16</v>
      </c>
      <c r="F93" s="1" t="s">
        <v>98</v>
      </c>
      <c r="G93" s="2">
        <v>3</v>
      </c>
      <c r="H93" s="3">
        <v>368.01</v>
      </c>
      <c r="I93" s="3">
        <v>1104.03</v>
      </c>
      <c r="J93" s="4">
        <v>45911</v>
      </c>
      <c r="K93" s="1" t="s">
        <v>54</v>
      </c>
      <c r="L93" s="1" t="s">
        <v>29</v>
      </c>
    </row>
    <row r="94" spans="1:12" x14ac:dyDescent="0.25">
      <c r="A94" s="1" t="s">
        <v>151</v>
      </c>
      <c r="B94" s="1" t="s">
        <v>71</v>
      </c>
      <c r="C94" s="1" t="s">
        <v>14</v>
      </c>
      <c r="D94" s="1" t="s">
        <v>68</v>
      </c>
      <c r="E94" s="1" t="s">
        <v>33</v>
      </c>
      <c r="F94" s="1" t="s">
        <v>60</v>
      </c>
      <c r="G94" s="2">
        <v>8</v>
      </c>
      <c r="H94" s="3">
        <v>321.89999999999998</v>
      </c>
      <c r="I94" s="3">
        <v>2575.1999999999998</v>
      </c>
      <c r="J94" s="4">
        <v>45732</v>
      </c>
      <c r="K94" s="1" t="s">
        <v>38</v>
      </c>
      <c r="L94" s="1" t="s">
        <v>25</v>
      </c>
    </row>
    <row r="95" spans="1:12" x14ac:dyDescent="0.25">
      <c r="A95" s="1" t="s">
        <v>152</v>
      </c>
      <c r="B95" s="1" t="s">
        <v>40</v>
      </c>
      <c r="C95" s="1" t="s">
        <v>22</v>
      </c>
      <c r="D95" s="1" t="s">
        <v>83</v>
      </c>
      <c r="E95" s="1" t="s">
        <v>44</v>
      </c>
      <c r="F95" s="1" t="s">
        <v>62</v>
      </c>
      <c r="G95" s="2">
        <v>2</v>
      </c>
      <c r="H95" s="3">
        <v>334.61</v>
      </c>
      <c r="I95" s="3">
        <v>669.22</v>
      </c>
      <c r="J95" s="4">
        <v>45976</v>
      </c>
      <c r="K95" s="1" t="s">
        <v>35</v>
      </c>
      <c r="L95" s="1" t="s">
        <v>19</v>
      </c>
    </row>
    <row r="96" spans="1:12" x14ac:dyDescent="0.25">
      <c r="A96" s="1" t="s">
        <v>153</v>
      </c>
      <c r="B96" s="1" t="s">
        <v>64</v>
      </c>
      <c r="C96" s="1" t="s">
        <v>14</v>
      </c>
      <c r="D96" s="1" t="s">
        <v>83</v>
      </c>
      <c r="E96" s="1" t="s">
        <v>44</v>
      </c>
      <c r="F96" s="1" t="s">
        <v>91</v>
      </c>
      <c r="G96" s="2">
        <v>5</v>
      </c>
      <c r="H96" s="3">
        <v>436.6</v>
      </c>
      <c r="I96" s="3">
        <v>2183</v>
      </c>
      <c r="J96" s="4">
        <v>46000</v>
      </c>
      <c r="K96" s="1" t="s">
        <v>54</v>
      </c>
      <c r="L96" s="1" t="s">
        <v>29</v>
      </c>
    </row>
    <row r="97" spans="1:12" x14ac:dyDescent="0.25">
      <c r="A97" s="1" t="s">
        <v>154</v>
      </c>
      <c r="B97" s="1" t="s">
        <v>47</v>
      </c>
      <c r="C97" s="1" t="s">
        <v>22</v>
      </c>
      <c r="D97" s="1" t="s">
        <v>68</v>
      </c>
      <c r="E97" s="1" t="s">
        <v>23</v>
      </c>
      <c r="F97" s="1" t="s">
        <v>24</v>
      </c>
      <c r="G97" s="2">
        <v>7</v>
      </c>
      <c r="H97" s="3">
        <v>253.75</v>
      </c>
      <c r="I97" s="3">
        <v>1776.25</v>
      </c>
      <c r="J97" s="4">
        <v>45901</v>
      </c>
      <c r="K97" s="1" t="s">
        <v>18</v>
      </c>
      <c r="L97" s="1" t="s">
        <v>29</v>
      </c>
    </row>
    <row r="98" spans="1:12" x14ac:dyDescent="0.25">
      <c r="A98" s="1" t="s">
        <v>155</v>
      </c>
      <c r="B98" s="1" t="s">
        <v>82</v>
      </c>
      <c r="C98" s="1" t="s">
        <v>22</v>
      </c>
      <c r="D98" s="1" t="s">
        <v>28</v>
      </c>
      <c r="E98" s="1" t="s">
        <v>16</v>
      </c>
      <c r="F98" s="1" t="s">
        <v>98</v>
      </c>
      <c r="G98" s="2">
        <v>4</v>
      </c>
      <c r="H98" s="3">
        <v>44.59</v>
      </c>
      <c r="I98" s="3">
        <v>178.36</v>
      </c>
      <c r="J98" s="4">
        <v>45763</v>
      </c>
      <c r="K98" s="1" t="s">
        <v>35</v>
      </c>
      <c r="L98" s="1" t="s">
        <v>42</v>
      </c>
    </row>
    <row r="99" spans="1:12" x14ac:dyDescent="0.25">
      <c r="A99" s="1" t="s">
        <v>156</v>
      </c>
      <c r="B99" s="1" t="s">
        <v>47</v>
      </c>
      <c r="C99" s="1" t="s">
        <v>14</v>
      </c>
      <c r="D99" s="1" t="s">
        <v>37</v>
      </c>
      <c r="E99" s="1" t="s">
        <v>23</v>
      </c>
      <c r="F99" s="1" t="s">
        <v>24</v>
      </c>
      <c r="G99" s="2">
        <v>1</v>
      </c>
      <c r="H99" s="3">
        <v>325.31</v>
      </c>
      <c r="I99" s="3">
        <v>325.31</v>
      </c>
      <c r="J99" s="4">
        <v>46015</v>
      </c>
      <c r="K99" s="1" t="s">
        <v>18</v>
      </c>
      <c r="L99" s="1" t="s">
        <v>19</v>
      </c>
    </row>
    <row r="100" spans="1:12" x14ac:dyDescent="0.25">
      <c r="A100" s="1" t="s">
        <v>157</v>
      </c>
      <c r="B100" s="1" t="s">
        <v>31</v>
      </c>
      <c r="C100" s="1" t="s">
        <v>14</v>
      </c>
      <c r="D100" s="1" t="s">
        <v>83</v>
      </c>
      <c r="E100" s="1" t="s">
        <v>44</v>
      </c>
      <c r="F100" s="1" t="s">
        <v>45</v>
      </c>
      <c r="G100" s="2">
        <v>7</v>
      </c>
      <c r="H100" s="3">
        <v>357.18</v>
      </c>
      <c r="I100" s="3">
        <v>2500.2600000000002</v>
      </c>
      <c r="J100" s="4">
        <v>45920</v>
      </c>
      <c r="K100" s="1" t="s">
        <v>54</v>
      </c>
      <c r="L100" s="1" t="s">
        <v>19</v>
      </c>
    </row>
    <row r="101" spans="1:12" x14ac:dyDescent="0.25">
      <c r="A101" s="1" t="s">
        <v>158</v>
      </c>
      <c r="B101" s="1" t="s">
        <v>40</v>
      </c>
      <c r="C101" s="1" t="s">
        <v>22</v>
      </c>
      <c r="D101" s="1" t="s">
        <v>59</v>
      </c>
      <c r="E101" s="1" t="s">
        <v>33</v>
      </c>
      <c r="F101" s="1" t="s">
        <v>60</v>
      </c>
      <c r="G101" s="2">
        <v>7</v>
      </c>
      <c r="H101" s="3">
        <v>192.78</v>
      </c>
      <c r="I101" s="3">
        <v>1349.46</v>
      </c>
      <c r="J101" s="4">
        <v>45761</v>
      </c>
      <c r="K101" s="1" t="s">
        <v>18</v>
      </c>
      <c r="L101" s="1" t="s">
        <v>19</v>
      </c>
    </row>
    <row r="102" spans="1:12" x14ac:dyDescent="0.25">
      <c r="A102" s="1" t="s">
        <v>159</v>
      </c>
      <c r="B102" s="1" t="s">
        <v>40</v>
      </c>
      <c r="C102" s="1" t="s">
        <v>14</v>
      </c>
      <c r="D102" s="1" t="s">
        <v>68</v>
      </c>
      <c r="E102" s="1" t="s">
        <v>44</v>
      </c>
      <c r="F102" s="1" t="s">
        <v>45</v>
      </c>
      <c r="G102" s="2">
        <v>2</v>
      </c>
      <c r="H102" s="3">
        <v>316.39</v>
      </c>
      <c r="I102" s="3">
        <v>632.78</v>
      </c>
      <c r="J102" s="4">
        <v>45788</v>
      </c>
      <c r="K102" s="1" t="s">
        <v>18</v>
      </c>
      <c r="L102" s="1" t="s">
        <v>42</v>
      </c>
    </row>
    <row r="103" spans="1:12" x14ac:dyDescent="0.25">
      <c r="A103" s="1" t="s">
        <v>160</v>
      </c>
      <c r="B103" s="1" t="s">
        <v>82</v>
      </c>
      <c r="C103" s="1" t="s">
        <v>22</v>
      </c>
      <c r="D103" s="1" t="s">
        <v>28</v>
      </c>
      <c r="E103" s="1" t="s">
        <v>33</v>
      </c>
      <c r="F103" s="1" t="s">
        <v>34</v>
      </c>
      <c r="G103" s="2">
        <v>2</v>
      </c>
      <c r="H103" s="3">
        <v>93.5</v>
      </c>
      <c r="I103" s="3">
        <v>187</v>
      </c>
      <c r="J103" s="4">
        <v>45859</v>
      </c>
      <c r="K103" s="1" t="s">
        <v>54</v>
      </c>
      <c r="L103" s="1" t="s">
        <v>56</v>
      </c>
    </row>
    <row r="104" spans="1:12" x14ac:dyDescent="0.25">
      <c r="A104" s="1" t="s">
        <v>161</v>
      </c>
      <c r="B104" s="1" t="s">
        <v>27</v>
      </c>
      <c r="C104" s="1" t="s">
        <v>22</v>
      </c>
      <c r="D104" s="1" t="s">
        <v>83</v>
      </c>
      <c r="E104" s="1" t="s">
        <v>23</v>
      </c>
      <c r="F104" s="1" t="s">
        <v>24</v>
      </c>
      <c r="G104" s="2">
        <v>5</v>
      </c>
      <c r="H104" s="3">
        <v>245.53</v>
      </c>
      <c r="I104" s="3">
        <v>1227.6500000000001</v>
      </c>
      <c r="J104" s="4">
        <v>45879</v>
      </c>
      <c r="K104" s="1" t="s">
        <v>35</v>
      </c>
      <c r="L104" s="1" t="s">
        <v>29</v>
      </c>
    </row>
    <row r="105" spans="1:12" x14ac:dyDescent="0.25">
      <c r="A105" s="1" t="s">
        <v>162</v>
      </c>
      <c r="B105" s="1" t="s">
        <v>75</v>
      </c>
      <c r="C105" s="1" t="s">
        <v>14</v>
      </c>
      <c r="D105" s="1" t="s">
        <v>59</v>
      </c>
      <c r="E105" s="1" t="s">
        <v>33</v>
      </c>
      <c r="F105" s="1" t="s">
        <v>60</v>
      </c>
      <c r="G105" s="2">
        <v>7</v>
      </c>
      <c r="H105" s="3">
        <v>397.52</v>
      </c>
      <c r="I105" s="3">
        <v>2782.64</v>
      </c>
      <c r="J105" s="4">
        <v>45906</v>
      </c>
      <c r="K105" s="1" t="s">
        <v>54</v>
      </c>
      <c r="L105" s="1" t="s">
        <v>25</v>
      </c>
    </row>
    <row r="106" spans="1:12" x14ac:dyDescent="0.25">
      <c r="A106" s="1" t="s">
        <v>163</v>
      </c>
      <c r="B106" s="1" t="s">
        <v>27</v>
      </c>
      <c r="C106" s="1" t="s">
        <v>14</v>
      </c>
      <c r="D106" s="1" t="s">
        <v>37</v>
      </c>
      <c r="E106" s="1" t="s">
        <v>23</v>
      </c>
      <c r="F106" s="1" t="s">
        <v>24</v>
      </c>
      <c r="G106" s="2">
        <v>7</v>
      </c>
      <c r="H106" s="3">
        <v>63.98</v>
      </c>
      <c r="I106" s="3">
        <v>447.86</v>
      </c>
      <c r="J106" s="4">
        <v>45798</v>
      </c>
      <c r="K106" s="1" t="s">
        <v>38</v>
      </c>
      <c r="L106" s="1" t="s">
        <v>25</v>
      </c>
    </row>
    <row r="107" spans="1:12" x14ac:dyDescent="0.25">
      <c r="A107" s="1" t="s">
        <v>164</v>
      </c>
      <c r="B107" s="1" t="s">
        <v>21</v>
      </c>
      <c r="C107" s="1" t="s">
        <v>14</v>
      </c>
      <c r="D107" s="1" t="s">
        <v>32</v>
      </c>
      <c r="E107" s="1" t="s">
        <v>33</v>
      </c>
      <c r="F107" s="1" t="s">
        <v>34</v>
      </c>
      <c r="G107" s="2">
        <v>5</v>
      </c>
      <c r="H107" s="3">
        <v>119.14</v>
      </c>
      <c r="I107" s="3">
        <v>595.70000000000005</v>
      </c>
      <c r="J107" s="4">
        <v>45870</v>
      </c>
      <c r="K107" s="1" t="s">
        <v>18</v>
      </c>
      <c r="L107" s="1" t="s">
        <v>25</v>
      </c>
    </row>
    <row r="108" spans="1:12" x14ac:dyDescent="0.25">
      <c r="A108" s="1" t="s">
        <v>165</v>
      </c>
      <c r="B108" s="1" t="s">
        <v>27</v>
      </c>
      <c r="C108" s="1" t="s">
        <v>14</v>
      </c>
      <c r="D108" s="1" t="s">
        <v>37</v>
      </c>
      <c r="E108" s="1" t="s">
        <v>23</v>
      </c>
      <c r="F108" s="1" t="s">
        <v>24</v>
      </c>
      <c r="G108" s="2">
        <v>1</v>
      </c>
      <c r="H108" s="3">
        <v>272.64999999999998</v>
      </c>
      <c r="I108" s="3">
        <v>272.64999999999998</v>
      </c>
      <c r="J108" s="4">
        <v>45986</v>
      </c>
      <c r="K108" s="1" t="s">
        <v>54</v>
      </c>
      <c r="L108" s="1" t="s">
        <v>29</v>
      </c>
    </row>
    <row r="109" spans="1:12" x14ac:dyDescent="0.25">
      <c r="A109" s="1" t="s">
        <v>166</v>
      </c>
      <c r="B109" s="1" t="s">
        <v>82</v>
      </c>
      <c r="C109" s="1" t="s">
        <v>22</v>
      </c>
      <c r="D109" s="1" t="s">
        <v>37</v>
      </c>
      <c r="E109" s="1" t="s">
        <v>44</v>
      </c>
      <c r="F109" s="1" t="s">
        <v>45</v>
      </c>
      <c r="G109" s="2">
        <v>7</v>
      </c>
      <c r="H109" s="3">
        <v>402.16</v>
      </c>
      <c r="I109" s="3">
        <v>2815.12</v>
      </c>
      <c r="J109" s="4">
        <v>45869</v>
      </c>
      <c r="K109" s="1" t="s">
        <v>35</v>
      </c>
      <c r="L109" s="1" t="s">
        <v>19</v>
      </c>
    </row>
    <row r="110" spans="1:12" x14ac:dyDescent="0.25">
      <c r="A110" s="1" t="s">
        <v>167</v>
      </c>
      <c r="B110" s="1" t="s">
        <v>64</v>
      </c>
      <c r="C110" s="1" t="s">
        <v>14</v>
      </c>
      <c r="D110" s="1" t="s">
        <v>68</v>
      </c>
      <c r="E110" s="1" t="s">
        <v>33</v>
      </c>
      <c r="F110" s="1" t="s">
        <v>60</v>
      </c>
      <c r="G110" s="2">
        <v>7</v>
      </c>
      <c r="H110" s="3">
        <v>223.01</v>
      </c>
      <c r="I110" s="3">
        <v>1561.07</v>
      </c>
      <c r="J110" s="4">
        <v>45988</v>
      </c>
      <c r="K110" s="1" t="s">
        <v>18</v>
      </c>
      <c r="L110" s="1" t="s">
        <v>29</v>
      </c>
    </row>
    <row r="111" spans="1:12" x14ac:dyDescent="0.25">
      <c r="A111" s="1" t="s">
        <v>168</v>
      </c>
      <c r="B111" s="1" t="s">
        <v>75</v>
      </c>
      <c r="C111" s="1" t="s">
        <v>14</v>
      </c>
      <c r="D111" s="1" t="s">
        <v>32</v>
      </c>
      <c r="E111" s="1" t="s">
        <v>33</v>
      </c>
      <c r="F111" s="1" t="s">
        <v>34</v>
      </c>
      <c r="G111" s="2">
        <v>10</v>
      </c>
      <c r="H111" s="3">
        <v>445.18</v>
      </c>
      <c r="I111" s="3">
        <v>4451.8</v>
      </c>
      <c r="J111" s="4">
        <v>45794</v>
      </c>
      <c r="K111" s="1" t="s">
        <v>38</v>
      </c>
      <c r="L111" s="1" t="s">
        <v>56</v>
      </c>
    </row>
    <row r="112" spans="1:12" x14ac:dyDescent="0.25">
      <c r="A112" s="1" t="s">
        <v>169</v>
      </c>
      <c r="B112" s="1" t="s">
        <v>82</v>
      </c>
      <c r="C112" s="1" t="s">
        <v>14</v>
      </c>
      <c r="D112" s="1" t="s">
        <v>83</v>
      </c>
      <c r="E112" s="1" t="s">
        <v>16</v>
      </c>
      <c r="F112" s="1" t="s">
        <v>17</v>
      </c>
      <c r="G112" s="2">
        <v>4</v>
      </c>
      <c r="H112" s="3">
        <v>84.83</v>
      </c>
      <c r="I112" s="3">
        <v>339.32</v>
      </c>
      <c r="J112" s="4">
        <v>45785</v>
      </c>
      <c r="K112" s="1" t="s">
        <v>38</v>
      </c>
      <c r="L112" s="1" t="s">
        <v>42</v>
      </c>
    </row>
    <row r="113" spans="1:12" x14ac:dyDescent="0.25">
      <c r="A113" s="1" t="s">
        <v>170</v>
      </c>
      <c r="B113" s="1" t="s">
        <v>82</v>
      </c>
      <c r="C113" s="1" t="s">
        <v>14</v>
      </c>
      <c r="D113" s="1" t="s">
        <v>59</v>
      </c>
      <c r="E113" s="1" t="s">
        <v>16</v>
      </c>
      <c r="F113" s="1" t="s">
        <v>98</v>
      </c>
      <c r="G113" s="2">
        <v>6</v>
      </c>
      <c r="H113" s="3">
        <v>468.34</v>
      </c>
      <c r="I113" s="3">
        <v>2810.04</v>
      </c>
      <c r="J113" s="4">
        <v>45750</v>
      </c>
      <c r="K113" s="1" t="s">
        <v>54</v>
      </c>
      <c r="L113" s="1" t="s">
        <v>25</v>
      </c>
    </row>
    <row r="114" spans="1:12" x14ac:dyDescent="0.25">
      <c r="A114" s="1" t="s">
        <v>171</v>
      </c>
      <c r="B114" s="1" t="s">
        <v>71</v>
      </c>
      <c r="C114" s="1" t="s">
        <v>22</v>
      </c>
      <c r="D114" s="1" t="s">
        <v>32</v>
      </c>
      <c r="E114" s="1" t="s">
        <v>44</v>
      </c>
      <c r="F114" s="1" t="s">
        <v>62</v>
      </c>
      <c r="G114" s="2">
        <v>2</v>
      </c>
      <c r="H114" s="3">
        <v>389.91</v>
      </c>
      <c r="I114" s="3">
        <v>779.82</v>
      </c>
      <c r="J114" s="4">
        <v>45820</v>
      </c>
      <c r="K114" s="1" t="s">
        <v>38</v>
      </c>
      <c r="L114" s="1" t="s">
        <v>29</v>
      </c>
    </row>
    <row r="115" spans="1:12" x14ac:dyDescent="0.25">
      <c r="A115" s="1" t="s">
        <v>172</v>
      </c>
      <c r="B115" s="1" t="s">
        <v>71</v>
      </c>
      <c r="C115" s="1" t="s">
        <v>22</v>
      </c>
      <c r="D115" s="1" t="s">
        <v>68</v>
      </c>
      <c r="E115" s="1" t="s">
        <v>16</v>
      </c>
      <c r="F115" s="1" t="s">
        <v>98</v>
      </c>
      <c r="G115" s="2">
        <v>1</v>
      </c>
      <c r="H115" s="3">
        <v>228.07</v>
      </c>
      <c r="I115" s="3">
        <v>228.07</v>
      </c>
      <c r="J115" s="4">
        <v>45911</v>
      </c>
      <c r="K115" s="1" t="s">
        <v>35</v>
      </c>
      <c r="L115" s="1" t="s">
        <v>19</v>
      </c>
    </row>
    <row r="116" spans="1:12" x14ac:dyDescent="0.25">
      <c r="A116" s="1" t="s">
        <v>173</v>
      </c>
      <c r="B116" s="1" t="s">
        <v>27</v>
      </c>
      <c r="C116" s="1" t="s">
        <v>22</v>
      </c>
      <c r="D116" s="1" t="s">
        <v>32</v>
      </c>
      <c r="E116" s="1" t="s">
        <v>16</v>
      </c>
      <c r="F116" s="1" t="s">
        <v>98</v>
      </c>
      <c r="G116" s="2">
        <v>3</v>
      </c>
      <c r="H116" s="3">
        <v>370.45</v>
      </c>
      <c r="I116" s="3">
        <v>1111.3499999999999</v>
      </c>
      <c r="J116" s="4">
        <v>45746</v>
      </c>
      <c r="K116" s="1" t="s">
        <v>18</v>
      </c>
      <c r="L116" s="1" t="s">
        <v>56</v>
      </c>
    </row>
    <row r="117" spans="1:12" x14ac:dyDescent="0.25">
      <c r="A117" s="1" t="s">
        <v>174</v>
      </c>
      <c r="B117" s="1" t="s">
        <v>75</v>
      </c>
      <c r="C117" s="1" t="s">
        <v>22</v>
      </c>
      <c r="D117" s="1" t="s">
        <v>15</v>
      </c>
      <c r="E117" s="1" t="s">
        <v>44</v>
      </c>
      <c r="F117" s="1" t="s">
        <v>45</v>
      </c>
      <c r="G117" s="2">
        <v>2</v>
      </c>
      <c r="H117" s="3">
        <v>380.94</v>
      </c>
      <c r="I117" s="3">
        <v>761.88</v>
      </c>
      <c r="J117" s="4">
        <v>45995</v>
      </c>
      <c r="K117" s="1" t="s">
        <v>38</v>
      </c>
      <c r="L117" s="1" t="s">
        <v>25</v>
      </c>
    </row>
    <row r="118" spans="1:12" x14ac:dyDescent="0.25">
      <c r="A118" s="1" t="s">
        <v>175</v>
      </c>
      <c r="B118" s="1" t="s">
        <v>13</v>
      </c>
      <c r="C118" s="1" t="s">
        <v>22</v>
      </c>
      <c r="D118" s="1" t="s">
        <v>32</v>
      </c>
      <c r="E118" s="1" t="s">
        <v>23</v>
      </c>
      <c r="F118" s="1" t="s">
        <v>53</v>
      </c>
      <c r="G118" s="2">
        <v>1</v>
      </c>
      <c r="H118" s="3">
        <v>367.9</v>
      </c>
      <c r="I118" s="3">
        <v>367.9</v>
      </c>
      <c r="J118" s="4">
        <v>45828</v>
      </c>
      <c r="K118" s="1" t="s">
        <v>35</v>
      </c>
      <c r="L118" s="1" t="s">
        <v>56</v>
      </c>
    </row>
    <row r="119" spans="1:12" x14ac:dyDescent="0.25">
      <c r="A119" s="1" t="s">
        <v>176</v>
      </c>
      <c r="B119" s="1" t="s">
        <v>21</v>
      </c>
      <c r="C119" s="1" t="s">
        <v>22</v>
      </c>
      <c r="D119" s="1" t="s">
        <v>32</v>
      </c>
      <c r="E119" s="1" t="s">
        <v>16</v>
      </c>
      <c r="F119" s="1" t="s">
        <v>115</v>
      </c>
      <c r="G119" s="2">
        <v>2</v>
      </c>
      <c r="H119" s="3">
        <v>339.16</v>
      </c>
      <c r="I119" s="3">
        <v>678.32</v>
      </c>
      <c r="J119" s="4">
        <v>45797</v>
      </c>
      <c r="K119" s="1" t="s">
        <v>54</v>
      </c>
      <c r="L119" s="1" t="s">
        <v>19</v>
      </c>
    </row>
    <row r="120" spans="1:12" x14ac:dyDescent="0.25">
      <c r="A120" s="1" t="s">
        <v>177</v>
      </c>
      <c r="B120" s="1" t="s">
        <v>64</v>
      </c>
      <c r="C120" s="1" t="s">
        <v>22</v>
      </c>
      <c r="D120" s="1" t="s">
        <v>32</v>
      </c>
      <c r="E120" s="1" t="s">
        <v>33</v>
      </c>
      <c r="F120" s="1" t="s">
        <v>72</v>
      </c>
      <c r="G120" s="2">
        <v>7</v>
      </c>
      <c r="H120" s="3">
        <v>437.52</v>
      </c>
      <c r="I120" s="3">
        <v>3062.64</v>
      </c>
      <c r="J120" s="4">
        <v>45801</v>
      </c>
      <c r="K120" s="1" t="s">
        <v>18</v>
      </c>
      <c r="L120" s="1" t="s">
        <v>19</v>
      </c>
    </row>
    <row r="121" spans="1:12" x14ac:dyDescent="0.25">
      <c r="A121" s="1" t="s">
        <v>178</v>
      </c>
      <c r="B121" s="1" t="s">
        <v>40</v>
      </c>
      <c r="C121" s="1" t="s">
        <v>14</v>
      </c>
      <c r="D121" s="1" t="s">
        <v>32</v>
      </c>
      <c r="E121" s="1" t="s">
        <v>16</v>
      </c>
      <c r="F121" s="1" t="s">
        <v>17</v>
      </c>
      <c r="G121" s="2">
        <v>2</v>
      </c>
      <c r="H121" s="3">
        <v>482.55</v>
      </c>
      <c r="I121" s="3">
        <v>965.1</v>
      </c>
      <c r="J121" s="4">
        <v>45862</v>
      </c>
      <c r="K121" s="1" t="s">
        <v>35</v>
      </c>
      <c r="L121" s="1" t="s">
        <v>56</v>
      </c>
    </row>
    <row r="122" spans="1:12" x14ac:dyDescent="0.25">
      <c r="A122" s="1" t="s">
        <v>179</v>
      </c>
      <c r="B122" s="1" t="s">
        <v>64</v>
      </c>
      <c r="C122" s="1" t="s">
        <v>22</v>
      </c>
      <c r="D122" s="1" t="s">
        <v>83</v>
      </c>
      <c r="E122" s="1" t="s">
        <v>33</v>
      </c>
      <c r="F122" s="1" t="s">
        <v>60</v>
      </c>
      <c r="G122" s="2">
        <v>9</v>
      </c>
      <c r="H122" s="3">
        <v>36.08</v>
      </c>
      <c r="I122" s="3">
        <v>324.72000000000003</v>
      </c>
      <c r="J122" s="4">
        <v>45890</v>
      </c>
      <c r="K122" s="1" t="s">
        <v>54</v>
      </c>
      <c r="L122" s="1" t="s">
        <v>19</v>
      </c>
    </row>
    <row r="123" spans="1:12" x14ac:dyDescent="0.25">
      <c r="A123" s="1" t="s">
        <v>180</v>
      </c>
      <c r="B123" s="1" t="s">
        <v>75</v>
      </c>
      <c r="C123" s="1" t="s">
        <v>14</v>
      </c>
      <c r="D123" s="1" t="s">
        <v>83</v>
      </c>
      <c r="E123" s="1" t="s">
        <v>16</v>
      </c>
      <c r="F123" s="1" t="s">
        <v>17</v>
      </c>
      <c r="G123" s="2">
        <v>2</v>
      </c>
      <c r="H123" s="3">
        <v>106.88</v>
      </c>
      <c r="I123" s="3">
        <v>213.76</v>
      </c>
      <c r="J123" s="4">
        <v>45678</v>
      </c>
      <c r="K123" s="1" t="s">
        <v>54</v>
      </c>
      <c r="L123" s="1" t="s">
        <v>56</v>
      </c>
    </row>
    <row r="124" spans="1:12" x14ac:dyDescent="0.25">
      <c r="A124" s="1" t="s">
        <v>181</v>
      </c>
      <c r="B124" s="1" t="s">
        <v>71</v>
      </c>
      <c r="C124" s="1" t="s">
        <v>14</v>
      </c>
      <c r="D124" s="1" t="s">
        <v>37</v>
      </c>
      <c r="E124" s="1" t="s">
        <v>33</v>
      </c>
      <c r="F124" s="1" t="s">
        <v>72</v>
      </c>
      <c r="G124" s="2">
        <v>10</v>
      </c>
      <c r="H124" s="3">
        <v>483.64</v>
      </c>
      <c r="I124" s="3">
        <v>4836.3999999999996</v>
      </c>
      <c r="J124" s="4">
        <v>45828</v>
      </c>
      <c r="K124" s="1" t="s">
        <v>18</v>
      </c>
      <c r="L124" s="1" t="s">
        <v>29</v>
      </c>
    </row>
    <row r="125" spans="1:12" x14ac:dyDescent="0.25">
      <c r="A125" s="1" t="s">
        <v>182</v>
      </c>
      <c r="B125" s="1" t="s">
        <v>75</v>
      </c>
      <c r="C125" s="1" t="s">
        <v>22</v>
      </c>
      <c r="D125" s="1" t="s">
        <v>83</v>
      </c>
      <c r="E125" s="1" t="s">
        <v>44</v>
      </c>
      <c r="F125" s="1" t="s">
        <v>45</v>
      </c>
      <c r="G125" s="2">
        <v>2</v>
      </c>
      <c r="H125" s="3">
        <v>406.8</v>
      </c>
      <c r="I125" s="3">
        <v>813.6</v>
      </c>
      <c r="J125" s="4">
        <v>45770</v>
      </c>
      <c r="K125" s="1" t="s">
        <v>18</v>
      </c>
      <c r="L125" s="1" t="s">
        <v>56</v>
      </c>
    </row>
    <row r="126" spans="1:12" x14ac:dyDescent="0.25">
      <c r="A126" s="1" t="s">
        <v>183</v>
      </c>
      <c r="B126" s="1" t="s">
        <v>75</v>
      </c>
      <c r="C126" s="1" t="s">
        <v>14</v>
      </c>
      <c r="D126" s="1" t="s">
        <v>37</v>
      </c>
      <c r="E126" s="1" t="s">
        <v>44</v>
      </c>
      <c r="F126" s="1" t="s">
        <v>45</v>
      </c>
      <c r="G126" s="2">
        <v>8</v>
      </c>
      <c r="H126" s="3">
        <v>280.62</v>
      </c>
      <c r="I126" s="3">
        <v>2244.96</v>
      </c>
      <c r="J126" s="4">
        <v>45918</v>
      </c>
      <c r="K126" s="1" t="s">
        <v>35</v>
      </c>
      <c r="L126" s="1" t="s">
        <v>19</v>
      </c>
    </row>
    <row r="127" spans="1:12" x14ac:dyDescent="0.25">
      <c r="A127" s="1" t="s">
        <v>184</v>
      </c>
      <c r="B127" s="1" t="s">
        <v>71</v>
      </c>
      <c r="C127" s="1" t="s">
        <v>22</v>
      </c>
      <c r="D127" s="1" t="s">
        <v>59</v>
      </c>
      <c r="E127" s="1" t="s">
        <v>33</v>
      </c>
      <c r="F127" s="1" t="s">
        <v>34</v>
      </c>
      <c r="G127" s="2">
        <v>4</v>
      </c>
      <c r="H127" s="3">
        <v>499.98</v>
      </c>
      <c r="I127" s="3">
        <v>1999.92</v>
      </c>
      <c r="J127" s="4">
        <v>45952</v>
      </c>
      <c r="K127" s="1" t="s">
        <v>18</v>
      </c>
      <c r="L127" s="1" t="s">
        <v>25</v>
      </c>
    </row>
    <row r="128" spans="1:12" x14ac:dyDescent="0.25">
      <c r="A128" s="1" t="s">
        <v>185</v>
      </c>
      <c r="B128" s="1" t="s">
        <v>31</v>
      </c>
      <c r="C128" s="1" t="s">
        <v>14</v>
      </c>
      <c r="D128" s="1" t="s">
        <v>83</v>
      </c>
      <c r="E128" s="1" t="s">
        <v>44</v>
      </c>
      <c r="F128" s="1" t="s">
        <v>91</v>
      </c>
      <c r="G128" s="2">
        <v>6</v>
      </c>
      <c r="H128" s="3">
        <v>72.72</v>
      </c>
      <c r="I128" s="3">
        <v>436.32</v>
      </c>
      <c r="J128" s="4">
        <v>45879</v>
      </c>
      <c r="K128" s="1" t="s">
        <v>35</v>
      </c>
      <c r="L128" s="1" t="s">
        <v>42</v>
      </c>
    </row>
    <row r="129" spans="1:12" x14ac:dyDescent="0.25">
      <c r="A129" s="1" t="s">
        <v>186</v>
      </c>
      <c r="B129" s="1" t="s">
        <v>13</v>
      </c>
      <c r="C129" s="1" t="s">
        <v>22</v>
      </c>
      <c r="D129" s="1" t="s">
        <v>59</v>
      </c>
      <c r="E129" s="1" t="s">
        <v>23</v>
      </c>
      <c r="F129" s="1" t="s">
        <v>53</v>
      </c>
      <c r="G129" s="2">
        <v>8</v>
      </c>
      <c r="H129" s="3">
        <v>35.67</v>
      </c>
      <c r="I129" s="3">
        <v>285.36</v>
      </c>
      <c r="J129" s="4">
        <v>45764</v>
      </c>
      <c r="K129" s="1" t="s">
        <v>18</v>
      </c>
      <c r="L129" s="1" t="s">
        <v>56</v>
      </c>
    </row>
    <row r="130" spans="1:12" x14ac:dyDescent="0.25">
      <c r="A130" s="1" t="s">
        <v>187</v>
      </c>
      <c r="B130" s="1" t="s">
        <v>40</v>
      </c>
      <c r="C130" s="1" t="s">
        <v>14</v>
      </c>
      <c r="D130" s="1" t="s">
        <v>83</v>
      </c>
      <c r="E130" s="1" t="s">
        <v>33</v>
      </c>
      <c r="F130" s="1" t="s">
        <v>72</v>
      </c>
      <c r="G130" s="2">
        <v>2</v>
      </c>
      <c r="H130" s="3">
        <v>249.05</v>
      </c>
      <c r="I130" s="3">
        <v>498.1</v>
      </c>
      <c r="J130" s="4">
        <v>45921</v>
      </c>
      <c r="K130" s="1" t="s">
        <v>35</v>
      </c>
      <c r="L130" s="1" t="s">
        <v>42</v>
      </c>
    </row>
    <row r="131" spans="1:12" x14ac:dyDescent="0.25">
      <c r="A131" s="1" t="s">
        <v>188</v>
      </c>
      <c r="B131" s="1" t="s">
        <v>13</v>
      </c>
      <c r="C131" s="1" t="s">
        <v>14</v>
      </c>
      <c r="D131" s="1" t="s">
        <v>28</v>
      </c>
      <c r="E131" s="1" t="s">
        <v>44</v>
      </c>
      <c r="F131" s="1" t="s">
        <v>45</v>
      </c>
      <c r="G131" s="2">
        <v>9</v>
      </c>
      <c r="H131" s="3">
        <v>12.52</v>
      </c>
      <c r="I131" s="3">
        <v>112.68</v>
      </c>
      <c r="J131" s="4">
        <v>45722</v>
      </c>
      <c r="K131" s="1" t="s">
        <v>18</v>
      </c>
      <c r="L131" s="1" t="s">
        <v>42</v>
      </c>
    </row>
    <row r="132" spans="1:12" x14ac:dyDescent="0.25">
      <c r="A132" s="1" t="s">
        <v>189</v>
      </c>
      <c r="B132" s="1" t="s">
        <v>40</v>
      </c>
      <c r="C132" s="1" t="s">
        <v>14</v>
      </c>
      <c r="D132" s="1" t="s">
        <v>15</v>
      </c>
      <c r="E132" s="1" t="s">
        <v>44</v>
      </c>
      <c r="F132" s="1" t="s">
        <v>91</v>
      </c>
      <c r="G132" s="2">
        <v>5</v>
      </c>
      <c r="H132" s="3">
        <v>55.21</v>
      </c>
      <c r="I132" s="3">
        <v>276.05</v>
      </c>
      <c r="J132" s="4">
        <v>45753</v>
      </c>
      <c r="K132" s="1" t="s">
        <v>18</v>
      </c>
      <c r="L132" s="1" t="s">
        <v>29</v>
      </c>
    </row>
    <row r="133" spans="1:12" x14ac:dyDescent="0.25">
      <c r="A133" s="1" t="s">
        <v>190</v>
      </c>
      <c r="B133" s="1" t="s">
        <v>27</v>
      </c>
      <c r="C133" s="1" t="s">
        <v>14</v>
      </c>
      <c r="D133" s="1" t="s">
        <v>68</v>
      </c>
      <c r="E133" s="1" t="s">
        <v>44</v>
      </c>
      <c r="F133" s="1" t="s">
        <v>45</v>
      </c>
      <c r="G133" s="2">
        <v>4</v>
      </c>
      <c r="H133" s="3">
        <v>78.290000000000006</v>
      </c>
      <c r="I133" s="3">
        <v>313.16000000000003</v>
      </c>
      <c r="J133" s="4">
        <v>45879</v>
      </c>
      <c r="K133" s="1" t="s">
        <v>38</v>
      </c>
      <c r="L133" s="1" t="s">
        <v>29</v>
      </c>
    </row>
    <row r="134" spans="1:12" x14ac:dyDescent="0.25">
      <c r="A134" s="1" t="s">
        <v>191</v>
      </c>
      <c r="B134" s="1" t="s">
        <v>40</v>
      </c>
      <c r="C134" s="1" t="s">
        <v>14</v>
      </c>
      <c r="D134" s="1" t="s">
        <v>83</v>
      </c>
      <c r="E134" s="1" t="s">
        <v>33</v>
      </c>
      <c r="F134" s="1" t="s">
        <v>72</v>
      </c>
      <c r="G134" s="2">
        <v>6</v>
      </c>
      <c r="H134" s="3">
        <v>138.63999999999999</v>
      </c>
      <c r="I134" s="3">
        <v>831.84</v>
      </c>
      <c r="J134" s="4">
        <v>45846</v>
      </c>
      <c r="K134" s="1" t="s">
        <v>35</v>
      </c>
      <c r="L134" s="1" t="s">
        <v>42</v>
      </c>
    </row>
    <row r="135" spans="1:12" x14ac:dyDescent="0.25">
      <c r="A135" s="1" t="s">
        <v>192</v>
      </c>
      <c r="B135" s="1" t="s">
        <v>21</v>
      </c>
      <c r="C135" s="1" t="s">
        <v>22</v>
      </c>
      <c r="D135" s="1" t="s">
        <v>37</v>
      </c>
      <c r="E135" s="1" t="s">
        <v>44</v>
      </c>
      <c r="F135" s="1" t="s">
        <v>45</v>
      </c>
      <c r="G135" s="2">
        <v>7</v>
      </c>
      <c r="H135" s="3">
        <v>89.64</v>
      </c>
      <c r="I135" s="3">
        <v>627.48</v>
      </c>
      <c r="J135" s="4">
        <v>45787</v>
      </c>
      <c r="K135" s="1" t="s">
        <v>18</v>
      </c>
      <c r="L135" s="1" t="s">
        <v>42</v>
      </c>
    </row>
    <row r="136" spans="1:12" x14ac:dyDescent="0.25">
      <c r="A136" s="1" t="s">
        <v>193</v>
      </c>
      <c r="B136" s="1" t="s">
        <v>21</v>
      </c>
      <c r="C136" s="1" t="s">
        <v>22</v>
      </c>
      <c r="D136" s="1" t="s">
        <v>15</v>
      </c>
      <c r="E136" s="1" t="s">
        <v>23</v>
      </c>
      <c r="F136" s="1" t="s">
        <v>53</v>
      </c>
      <c r="G136" s="2">
        <v>6</v>
      </c>
      <c r="H136" s="3">
        <v>375.54</v>
      </c>
      <c r="I136" s="3">
        <v>2253.2399999999998</v>
      </c>
      <c r="J136" s="4">
        <v>45928</v>
      </c>
      <c r="K136" s="1" t="s">
        <v>54</v>
      </c>
      <c r="L136" s="1" t="s">
        <v>25</v>
      </c>
    </row>
    <row r="137" spans="1:12" x14ac:dyDescent="0.25">
      <c r="A137" s="1" t="s">
        <v>194</v>
      </c>
      <c r="B137" s="1" t="s">
        <v>64</v>
      </c>
      <c r="C137" s="1" t="s">
        <v>14</v>
      </c>
      <c r="D137" s="1" t="s">
        <v>37</v>
      </c>
      <c r="E137" s="1" t="s">
        <v>33</v>
      </c>
      <c r="F137" s="1" t="s">
        <v>60</v>
      </c>
      <c r="G137" s="2">
        <v>7</v>
      </c>
      <c r="H137" s="3">
        <v>211.29</v>
      </c>
      <c r="I137" s="3">
        <v>1479.03</v>
      </c>
      <c r="J137" s="4">
        <v>45793</v>
      </c>
      <c r="K137" s="1" t="s">
        <v>18</v>
      </c>
      <c r="L137" s="1" t="s">
        <v>19</v>
      </c>
    </row>
    <row r="138" spans="1:12" x14ac:dyDescent="0.25">
      <c r="A138" s="1" t="s">
        <v>195</v>
      </c>
      <c r="B138" s="1" t="s">
        <v>27</v>
      </c>
      <c r="C138" s="1" t="s">
        <v>22</v>
      </c>
      <c r="D138" s="1" t="s">
        <v>83</v>
      </c>
      <c r="E138" s="1" t="s">
        <v>44</v>
      </c>
      <c r="F138" s="1" t="s">
        <v>91</v>
      </c>
      <c r="G138" s="2">
        <v>8</v>
      </c>
      <c r="H138" s="3">
        <v>427.17</v>
      </c>
      <c r="I138" s="3">
        <v>3417.36</v>
      </c>
      <c r="J138" s="4">
        <v>45873</v>
      </c>
      <c r="K138" s="1" t="s">
        <v>35</v>
      </c>
      <c r="L138" s="1" t="s">
        <v>42</v>
      </c>
    </row>
    <row r="139" spans="1:12" x14ac:dyDescent="0.25">
      <c r="A139" s="1" t="s">
        <v>196</v>
      </c>
      <c r="B139" s="1" t="s">
        <v>71</v>
      </c>
      <c r="C139" s="1" t="s">
        <v>22</v>
      </c>
      <c r="D139" s="1" t="s">
        <v>32</v>
      </c>
      <c r="E139" s="1" t="s">
        <v>16</v>
      </c>
      <c r="F139" s="1" t="s">
        <v>17</v>
      </c>
      <c r="G139" s="2">
        <v>8</v>
      </c>
      <c r="H139" s="3">
        <v>477.69</v>
      </c>
      <c r="I139" s="3">
        <v>3821.52</v>
      </c>
      <c r="J139" s="4">
        <v>45801</v>
      </c>
      <c r="K139" s="1" t="s">
        <v>38</v>
      </c>
      <c r="L139" s="1" t="s">
        <v>56</v>
      </c>
    </row>
    <row r="140" spans="1:12" x14ac:dyDescent="0.25">
      <c r="A140" s="1" t="s">
        <v>197</v>
      </c>
      <c r="B140" s="1" t="s">
        <v>75</v>
      </c>
      <c r="C140" s="1" t="s">
        <v>14</v>
      </c>
      <c r="D140" s="1" t="s">
        <v>37</v>
      </c>
      <c r="E140" s="1" t="s">
        <v>33</v>
      </c>
      <c r="F140" s="1" t="s">
        <v>72</v>
      </c>
      <c r="G140" s="2">
        <v>10</v>
      </c>
      <c r="H140" s="3">
        <v>295.62</v>
      </c>
      <c r="I140" s="3">
        <v>2956.2</v>
      </c>
      <c r="J140" s="4">
        <v>46018</v>
      </c>
      <c r="K140" s="1" t="s">
        <v>18</v>
      </c>
      <c r="L140" s="1" t="s">
        <v>19</v>
      </c>
    </row>
    <row r="141" spans="1:12" x14ac:dyDescent="0.25">
      <c r="A141" s="1" t="s">
        <v>198</v>
      </c>
      <c r="B141" s="1" t="s">
        <v>82</v>
      </c>
      <c r="C141" s="1" t="s">
        <v>14</v>
      </c>
      <c r="D141" s="1" t="s">
        <v>37</v>
      </c>
      <c r="E141" s="1" t="s">
        <v>33</v>
      </c>
      <c r="F141" s="1" t="s">
        <v>60</v>
      </c>
      <c r="G141" s="2">
        <v>6</v>
      </c>
      <c r="H141" s="3">
        <v>392.89</v>
      </c>
      <c r="I141" s="3">
        <v>2357.34</v>
      </c>
      <c r="J141" s="4">
        <v>45735</v>
      </c>
      <c r="K141" s="1" t="s">
        <v>35</v>
      </c>
      <c r="L141" s="1" t="s">
        <v>56</v>
      </c>
    </row>
    <row r="142" spans="1:12" x14ac:dyDescent="0.25">
      <c r="A142" s="1" t="s">
        <v>199</v>
      </c>
      <c r="B142" s="1" t="s">
        <v>82</v>
      </c>
      <c r="C142" s="1" t="s">
        <v>14</v>
      </c>
      <c r="D142" s="1" t="s">
        <v>28</v>
      </c>
      <c r="E142" s="1" t="s">
        <v>44</v>
      </c>
      <c r="F142" s="1" t="s">
        <v>91</v>
      </c>
      <c r="G142" s="2">
        <v>9</v>
      </c>
      <c r="H142" s="3">
        <v>429.2</v>
      </c>
      <c r="I142" s="3">
        <v>3862.8</v>
      </c>
      <c r="J142" s="4">
        <v>45873</v>
      </c>
      <c r="K142" s="1" t="s">
        <v>18</v>
      </c>
      <c r="L142" s="1" t="s">
        <v>42</v>
      </c>
    </row>
    <row r="143" spans="1:12" x14ac:dyDescent="0.25">
      <c r="A143" s="1" t="s">
        <v>200</v>
      </c>
      <c r="B143" s="1" t="s">
        <v>82</v>
      </c>
      <c r="C143" s="1" t="s">
        <v>22</v>
      </c>
      <c r="D143" s="1" t="s">
        <v>32</v>
      </c>
      <c r="E143" s="1" t="s">
        <v>16</v>
      </c>
      <c r="F143" s="1" t="s">
        <v>98</v>
      </c>
      <c r="G143" s="2">
        <v>6</v>
      </c>
      <c r="H143" s="3">
        <v>125.01</v>
      </c>
      <c r="I143" s="3">
        <v>750.06</v>
      </c>
      <c r="J143" s="4">
        <v>45798</v>
      </c>
      <c r="K143" s="1" t="s">
        <v>54</v>
      </c>
      <c r="L143" s="1" t="s">
        <v>25</v>
      </c>
    </row>
    <row r="144" spans="1:12" x14ac:dyDescent="0.25">
      <c r="A144" s="1" t="s">
        <v>201</v>
      </c>
      <c r="B144" s="1" t="s">
        <v>40</v>
      </c>
      <c r="C144" s="1" t="s">
        <v>22</v>
      </c>
      <c r="D144" s="1" t="s">
        <v>59</v>
      </c>
      <c r="E144" s="1" t="s">
        <v>23</v>
      </c>
      <c r="F144" s="1" t="s">
        <v>48</v>
      </c>
      <c r="G144" s="2">
        <v>7</v>
      </c>
      <c r="H144" s="3">
        <v>256.99</v>
      </c>
      <c r="I144" s="3">
        <v>1798.93</v>
      </c>
      <c r="J144" s="4">
        <v>45875</v>
      </c>
      <c r="K144" s="1" t="s">
        <v>18</v>
      </c>
      <c r="L144" s="1" t="s">
        <v>42</v>
      </c>
    </row>
    <row r="145" spans="1:12" x14ac:dyDescent="0.25">
      <c r="A145" s="1" t="s">
        <v>202</v>
      </c>
      <c r="B145" s="1" t="s">
        <v>21</v>
      </c>
      <c r="C145" s="1" t="s">
        <v>14</v>
      </c>
      <c r="D145" s="1" t="s">
        <v>59</v>
      </c>
      <c r="E145" s="1" t="s">
        <v>44</v>
      </c>
      <c r="F145" s="1" t="s">
        <v>62</v>
      </c>
      <c r="G145" s="2">
        <v>3</v>
      </c>
      <c r="H145" s="3">
        <v>378.03</v>
      </c>
      <c r="I145" s="3">
        <v>1134.0899999999999</v>
      </c>
      <c r="J145" s="4">
        <v>45876</v>
      </c>
      <c r="K145" s="1" t="s">
        <v>18</v>
      </c>
      <c r="L145" s="1" t="s">
        <v>25</v>
      </c>
    </row>
    <row r="146" spans="1:12" x14ac:dyDescent="0.25">
      <c r="A146" s="1" t="s">
        <v>203</v>
      </c>
      <c r="B146" s="1" t="s">
        <v>64</v>
      </c>
      <c r="C146" s="1" t="s">
        <v>22</v>
      </c>
      <c r="D146" s="1" t="s">
        <v>68</v>
      </c>
      <c r="E146" s="1" t="s">
        <v>44</v>
      </c>
      <c r="F146" s="1" t="s">
        <v>45</v>
      </c>
      <c r="G146" s="2">
        <v>5</v>
      </c>
      <c r="H146" s="3">
        <v>245.06</v>
      </c>
      <c r="I146" s="3">
        <v>1225.3</v>
      </c>
      <c r="J146" s="4">
        <v>45785</v>
      </c>
      <c r="K146" s="1" t="s">
        <v>18</v>
      </c>
      <c r="L146" s="1" t="s">
        <v>42</v>
      </c>
    </row>
    <row r="147" spans="1:12" x14ac:dyDescent="0.25">
      <c r="A147" s="1" t="s">
        <v>204</v>
      </c>
      <c r="B147" s="1" t="s">
        <v>71</v>
      </c>
      <c r="C147" s="1" t="s">
        <v>14</v>
      </c>
      <c r="D147" s="1" t="s">
        <v>68</v>
      </c>
      <c r="E147" s="1" t="s">
        <v>33</v>
      </c>
      <c r="F147" s="1" t="s">
        <v>34</v>
      </c>
      <c r="G147" s="2">
        <v>1</v>
      </c>
      <c r="H147" s="3">
        <v>383.51</v>
      </c>
      <c r="I147" s="3">
        <v>383.51</v>
      </c>
      <c r="J147" s="4">
        <v>45795</v>
      </c>
      <c r="K147" s="1" t="s">
        <v>35</v>
      </c>
      <c r="L147" s="1" t="s">
        <v>29</v>
      </c>
    </row>
    <row r="148" spans="1:12" x14ac:dyDescent="0.25">
      <c r="A148" s="1" t="s">
        <v>205</v>
      </c>
      <c r="B148" s="1" t="s">
        <v>27</v>
      </c>
      <c r="C148" s="1" t="s">
        <v>22</v>
      </c>
      <c r="D148" s="1" t="s">
        <v>83</v>
      </c>
      <c r="E148" s="1" t="s">
        <v>44</v>
      </c>
      <c r="F148" s="1" t="s">
        <v>91</v>
      </c>
      <c r="G148" s="2">
        <v>6</v>
      </c>
      <c r="H148" s="3">
        <v>158.94</v>
      </c>
      <c r="I148" s="3">
        <v>953.64</v>
      </c>
      <c r="J148" s="4">
        <v>45735</v>
      </c>
      <c r="K148" s="1" t="s">
        <v>38</v>
      </c>
      <c r="L148" s="1" t="s">
        <v>25</v>
      </c>
    </row>
    <row r="149" spans="1:12" x14ac:dyDescent="0.25">
      <c r="A149" s="1" t="s">
        <v>206</v>
      </c>
      <c r="B149" s="1" t="s">
        <v>82</v>
      </c>
      <c r="C149" s="1" t="s">
        <v>22</v>
      </c>
      <c r="D149" s="1" t="s">
        <v>37</v>
      </c>
      <c r="E149" s="1" t="s">
        <v>16</v>
      </c>
      <c r="F149" s="1" t="s">
        <v>17</v>
      </c>
      <c r="G149" s="2">
        <v>8</v>
      </c>
      <c r="H149" s="3">
        <v>428.8</v>
      </c>
      <c r="I149" s="3">
        <v>3430.4</v>
      </c>
      <c r="J149" s="4">
        <v>45794</v>
      </c>
      <c r="K149" s="1" t="s">
        <v>35</v>
      </c>
      <c r="L149" s="1" t="s">
        <v>29</v>
      </c>
    </row>
    <row r="150" spans="1:12" x14ac:dyDescent="0.25">
      <c r="A150" s="1" t="s">
        <v>207</v>
      </c>
      <c r="B150" s="1" t="s">
        <v>75</v>
      </c>
      <c r="C150" s="1" t="s">
        <v>14</v>
      </c>
      <c r="D150" s="1" t="s">
        <v>32</v>
      </c>
      <c r="E150" s="1" t="s">
        <v>16</v>
      </c>
      <c r="F150" s="1" t="s">
        <v>17</v>
      </c>
      <c r="G150" s="2">
        <v>9</v>
      </c>
      <c r="H150" s="3">
        <v>378.21</v>
      </c>
      <c r="I150" s="3">
        <v>3403.89</v>
      </c>
      <c r="J150" s="4">
        <v>45940</v>
      </c>
      <c r="K150" s="1" t="s">
        <v>54</v>
      </c>
      <c r="L150" s="1" t="s">
        <v>56</v>
      </c>
    </row>
    <row r="151" spans="1:12" x14ac:dyDescent="0.25">
      <c r="A151" s="1" t="s">
        <v>208</v>
      </c>
      <c r="B151" s="1" t="s">
        <v>47</v>
      </c>
      <c r="C151" s="1" t="s">
        <v>22</v>
      </c>
      <c r="D151" s="1" t="s">
        <v>37</v>
      </c>
      <c r="E151" s="1" t="s">
        <v>44</v>
      </c>
      <c r="F151" s="1" t="s">
        <v>62</v>
      </c>
      <c r="G151" s="2">
        <v>3</v>
      </c>
      <c r="H151" s="3">
        <v>407.66</v>
      </c>
      <c r="I151" s="3">
        <v>1222.98</v>
      </c>
      <c r="J151" s="4">
        <v>45987</v>
      </c>
      <c r="K151" s="1" t="s">
        <v>35</v>
      </c>
      <c r="L151" s="1" t="s">
        <v>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DC418-9D03-49BC-8EAD-DA455B22885F}">
  <dimension ref="A3:E56"/>
  <sheetViews>
    <sheetView workbookViewId="0"/>
  </sheetViews>
  <sheetFormatPr defaultRowHeight="15" x14ac:dyDescent="0.25"/>
  <cols>
    <col min="1" max="1" width="13.140625" bestFit="1" customWidth="1"/>
    <col min="2" max="2" width="10.42578125" bestFit="1" customWidth="1"/>
    <col min="3" max="3" width="24.140625" bestFit="1" customWidth="1"/>
    <col min="5" max="5" width="18.140625" bestFit="1" customWidth="1"/>
  </cols>
  <sheetData>
    <row r="3" spans="1:5" x14ac:dyDescent="0.25">
      <c r="A3" t="s">
        <v>215</v>
      </c>
      <c r="C3" t="s">
        <v>216</v>
      </c>
      <c r="E3" t="s">
        <v>211</v>
      </c>
    </row>
    <row r="4" spans="1:5" x14ac:dyDescent="0.25">
      <c r="A4">
        <v>3</v>
      </c>
      <c r="C4" s="7">
        <v>3887.2699999999995</v>
      </c>
      <c r="E4" s="2"/>
    </row>
    <row r="7" spans="1:5" x14ac:dyDescent="0.25">
      <c r="A7" s="5" t="s">
        <v>212</v>
      </c>
      <c r="B7" t="s">
        <v>210</v>
      </c>
    </row>
    <row r="8" spans="1:5" x14ac:dyDescent="0.25">
      <c r="A8" s="6" t="s">
        <v>213</v>
      </c>
      <c r="B8" s="7"/>
    </row>
    <row r="13" spans="1:5" x14ac:dyDescent="0.25">
      <c r="E13" t="s">
        <v>217</v>
      </c>
    </row>
    <row r="24" spans="1:2" x14ac:dyDescent="0.25">
      <c r="A24" s="5" t="s">
        <v>212</v>
      </c>
      <c r="B24" t="s">
        <v>210</v>
      </c>
    </row>
    <row r="25" spans="1:2" x14ac:dyDescent="0.25">
      <c r="A25" s="6" t="s">
        <v>213</v>
      </c>
      <c r="B25" s="7"/>
    </row>
    <row r="39" spans="1:2" x14ac:dyDescent="0.25">
      <c r="A39" s="5" t="s">
        <v>212</v>
      </c>
      <c r="B39" t="s">
        <v>210</v>
      </c>
    </row>
    <row r="40" spans="1:2" x14ac:dyDescent="0.25">
      <c r="A40" s="6" t="s">
        <v>33</v>
      </c>
      <c r="B40" s="7">
        <v>2939.31</v>
      </c>
    </row>
    <row r="41" spans="1:2" x14ac:dyDescent="0.25">
      <c r="A41" s="6" t="s">
        <v>44</v>
      </c>
      <c r="B41" s="7">
        <v>734.2</v>
      </c>
    </row>
    <row r="42" spans="1:2" x14ac:dyDescent="0.25">
      <c r="A42" s="6" t="s">
        <v>16</v>
      </c>
      <c r="B42" s="7">
        <v>213.76</v>
      </c>
    </row>
    <row r="43" spans="1:2" x14ac:dyDescent="0.25">
      <c r="A43" s="6" t="s">
        <v>213</v>
      </c>
      <c r="B43" s="7">
        <v>3887.2699999999995</v>
      </c>
    </row>
    <row r="55" spans="1:2" x14ac:dyDescent="0.25">
      <c r="A55" s="5" t="s">
        <v>212</v>
      </c>
      <c r="B55" t="s">
        <v>210</v>
      </c>
    </row>
    <row r="56" spans="1:2" x14ac:dyDescent="0.25">
      <c r="A56" s="6" t="s">
        <v>213</v>
      </c>
      <c r="B56" s="7"/>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45F44-C0F9-4AFA-B248-3285523009B7}">
  <sheetPr>
    <pageSetUpPr fitToPage="1"/>
  </sheetPr>
  <dimension ref="A1"/>
  <sheetViews>
    <sheetView zoomScale="80" zoomScaleNormal="80" workbookViewId="0">
      <selection activeCell="XFD14" sqref="XFD14"/>
    </sheetView>
  </sheetViews>
  <sheetFormatPr defaultRowHeight="15" x14ac:dyDescent="0.25"/>
  <sheetData/>
  <pageMargins left="0.7" right="0.7" top="0.75" bottom="0.75" header="0.3" footer="0.3"/>
  <pageSetup scale="58"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12378-E146-411E-A921-2CE9C699E6A9}">
  <sheetPr>
    <pageSetUpPr fitToPage="1"/>
  </sheetPr>
  <dimension ref="A1"/>
  <sheetViews>
    <sheetView tabSelected="1" zoomScale="82" zoomScaleNormal="82" workbookViewId="0">
      <selection activeCell="W4" sqref="W4"/>
    </sheetView>
  </sheetViews>
  <sheetFormatPr defaultRowHeight="15" x14ac:dyDescent="0.25"/>
  <sheetData/>
  <pageMargins left="0.7" right="0.7" top="0.75" bottom="0.75" header="0.3" footer="0.3"/>
  <pageSetup scale="63" fitToHeight="0"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DC8AD-316B-4158-A872-9F361BA5AE9B}">
  <dimension ref="A1:M151"/>
  <sheetViews>
    <sheetView topLeftCell="A2" workbookViewId="0">
      <selection activeCell="D3" sqref="D3"/>
    </sheetView>
  </sheetViews>
  <sheetFormatPr defaultRowHeight="15" x14ac:dyDescent="0.25"/>
  <cols>
    <col min="1" max="1" width="11.140625" style="1" customWidth="1"/>
    <col min="2" max="2" width="18" style="1" customWidth="1"/>
    <col min="3" max="3" width="9.85546875" style="1" customWidth="1"/>
    <col min="4" max="4" width="9.28515625" style="1" customWidth="1"/>
    <col min="5" max="5" width="18.85546875" style="1" customWidth="1"/>
    <col min="6" max="6" width="22.28515625" style="1" customWidth="1"/>
    <col min="7" max="7" width="10.85546875" style="2" customWidth="1"/>
    <col min="8" max="8" width="12.42578125" style="7" customWidth="1"/>
    <col min="9" max="9" width="15" style="7" customWidth="1"/>
    <col min="10" max="11" width="13.42578125" style="4" customWidth="1"/>
    <col min="12" max="12" width="19.140625" style="1" customWidth="1"/>
    <col min="13" max="13" width="13.7109375" style="1" customWidth="1"/>
  </cols>
  <sheetData>
    <row r="1" spans="1:13" x14ac:dyDescent="0.25">
      <c r="A1" s="1" t="s">
        <v>0</v>
      </c>
      <c r="B1" s="1" t="s">
        <v>1</v>
      </c>
      <c r="C1" s="1" t="s">
        <v>2</v>
      </c>
      <c r="D1" s="1" t="s">
        <v>3</v>
      </c>
      <c r="E1" s="1" t="s">
        <v>4</v>
      </c>
      <c r="F1" s="1" t="s">
        <v>5</v>
      </c>
      <c r="G1" s="2" t="s">
        <v>6</v>
      </c>
      <c r="H1" s="7" t="s">
        <v>7</v>
      </c>
      <c r="I1" s="7" t="s">
        <v>8</v>
      </c>
      <c r="J1" s="4" t="s">
        <v>9</v>
      </c>
      <c r="K1" s="4" t="s">
        <v>214</v>
      </c>
      <c r="L1" s="1" t="s">
        <v>10</v>
      </c>
      <c r="M1" s="1" t="s">
        <v>11</v>
      </c>
    </row>
    <row r="2" spans="1:13" x14ac:dyDescent="0.25">
      <c r="A2" s="1" t="s">
        <v>12</v>
      </c>
      <c r="B2" s="1" t="s">
        <v>13</v>
      </c>
      <c r="C2" s="1" t="s">
        <v>14</v>
      </c>
      <c r="D2" s="1" t="s">
        <v>15</v>
      </c>
      <c r="E2" s="1" t="s">
        <v>16</v>
      </c>
      <c r="F2" s="1" t="s">
        <v>17</v>
      </c>
      <c r="G2" s="2">
        <v>1</v>
      </c>
      <c r="H2" s="7">
        <v>175.23</v>
      </c>
      <c r="I2" s="7">
        <v>175.23</v>
      </c>
      <c r="J2" s="4">
        <v>45897</v>
      </c>
      <c r="K2" s="4" t="str">
        <f t="shared" ref="K2:K33" si="0">TEXT(J2,"MMMM")</f>
        <v>August</v>
      </c>
      <c r="L2" s="1" t="s">
        <v>18</v>
      </c>
      <c r="M2" s="1" t="s">
        <v>19</v>
      </c>
    </row>
    <row r="3" spans="1:13" x14ac:dyDescent="0.25">
      <c r="A3" s="1" t="s">
        <v>20</v>
      </c>
      <c r="B3" s="1" t="s">
        <v>21</v>
      </c>
      <c r="C3" s="1" t="s">
        <v>22</v>
      </c>
      <c r="D3" s="1" t="s">
        <v>15</v>
      </c>
      <c r="E3" s="1" t="s">
        <v>23</v>
      </c>
      <c r="F3" s="1" t="s">
        <v>24</v>
      </c>
      <c r="G3" s="2">
        <v>8</v>
      </c>
      <c r="H3" s="7">
        <v>492.13</v>
      </c>
      <c r="I3" s="7">
        <v>3937.04</v>
      </c>
      <c r="J3" s="4">
        <v>45983</v>
      </c>
      <c r="K3" s="4" t="str">
        <f t="shared" si="0"/>
        <v>November</v>
      </c>
      <c r="L3" s="1" t="s">
        <v>18</v>
      </c>
      <c r="M3" s="1" t="s">
        <v>25</v>
      </c>
    </row>
    <row r="4" spans="1:13" x14ac:dyDescent="0.25">
      <c r="A4" s="1" t="s">
        <v>26</v>
      </c>
      <c r="B4" s="1" t="s">
        <v>27</v>
      </c>
      <c r="C4" s="1" t="s">
        <v>14</v>
      </c>
      <c r="D4" s="1" t="s">
        <v>28</v>
      </c>
      <c r="E4" s="1" t="s">
        <v>16</v>
      </c>
      <c r="F4" s="1" t="s">
        <v>17</v>
      </c>
      <c r="G4" s="2">
        <v>9</v>
      </c>
      <c r="H4" s="7">
        <v>406.1</v>
      </c>
      <c r="I4" s="7">
        <v>3654.9</v>
      </c>
      <c r="J4" s="4">
        <v>45699</v>
      </c>
      <c r="K4" s="4" t="str">
        <f t="shared" si="0"/>
        <v>February</v>
      </c>
      <c r="L4" s="1" t="s">
        <v>18</v>
      </c>
      <c r="M4" s="1" t="s">
        <v>29</v>
      </c>
    </row>
    <row r="5" spans="1:13" x14ac:dyDescent="0.25">
      <c r="A5" s="1" t="s">
        <v>30</v>
      </c>
      <c r="B5" s="1" t="s">
        <v>31</v>
      </c>
      <c r="C5" s="1" t="s">
        <v>14</v>
      </c>
      <c r="D5" s="1" t="s">
        <v>32</v>
      </c>
      <c r="E5" s="1" t="s">
        <v>33</v>
      </c>
      <c r="F5" s="1" t="s">
        <v>34</v>
      </c>
      <c r="G5" s="2">
        <v>3</v>
      </c>
      <c r="H5" s="7">
        <v>52.9</v>
      </c>
      <c r="I5" s="7">
        <v>158.69999999999999</v>
      </c>
      <c r="J5" s="4">
        <v>45882</v>
      </c>
      <c r="K5" s="4" t="str">
        <f t="shared" si="0"/>
        <v>August</v>
      </c>
      <c r="L5" s="1" t="s">
        <v>35</v>
      </c>
      <c r="M5" s="1" t="s">
        <v>25</v>
      </c>
    </row>
    <row r="6" spans="1:13" x14ac:dyDescent="0.25">
      <c r="A6" s="1" t="s">
        <v>36</v>
      </c>
      <c r="B6" s="1" t="s">
        <v>21</v>
      </c>
      <c r="C6" s="1" t="s">
        <v>14</v>
      </c>
      <c r="D6" s="1" t="s">
        <v>37</v>
      </c>
      <c r="E6" s="1" t="s">
        <v>33</v>
      </c>
      <c r="F6" s="1" t="s">
        <v>34</v>
      </c>
      <c r="G6" s="2">
        <v>1</v>
      </c>
      <c r="H6" s="7">
        <v>132.53</v>
      </c>
      <c r="I6" s="7">
        <v>132.53</v>
      </c>
      <c r="J6" s="4">
        <v>45698</v>
      </c>
      <c r="K6" s="4" t="str">
        <f t="shared" si="0"/>
        <v>February</v>
      </c>
      <c r="L6" s="1" t="s">
        <v>38</v>
      </c>
      <c r="M6" s="1" t="s">
        <v>25</v>
      </c>
    </row>
    <row r="7" spans="1:13" x14ac:dyDescent="0.25">
      <c r="A7" s="1" t="s">
        <v>39</v>
      </c>
      <c r="B7" s="1" t="s">
        <v>40</v>
      </c>
      <c r="C7" s="1" t="s">
        <v>22</v>
      </c>
      <c r="D7" s="1" t="s">
        <v>41</v>
      </c>
      <c r="E7" s="1" t="s">
        <v>23</v>
      </c>
      <c r="F7" s="1" t="s">
        <v>24</v>
      </c>
      <c r="G7" s="2">
        <v>7</v>
      </c>
      <c r="H7" s="7">
        <v>266.94</v>
      </c>
      <c r="I7" s="7">
        <v>1868.58</v>
      </c>
      <c r="J7" s="4">
        <v>45965</v>
      </c>
      <c r="K7" s="4" t="str">
        <f t="shared" si="0"/>
        <v>November</v>
      </c>
      <c r="L7" s="1" t="s">
        <v>38</v>
      </c>
      <c r="M7" s="1" t="s">
        <v>42</v>
      </c>
    </row>
    <row r="8" spans="1:13" x14ac:dyDescent="0.25">
      <c r="A8" s="1" t="s">
        <v>43</v>
      </c>
      <c r="B8" s="1" t="s">
        <v>31</v>
      </c>
      <c r="C8" s="1" t="s">
        <v>14</v>
      </c>
      <c r="D8" s="1" t="s">
        <v>32</v>
      </c>
      <c r="E8" s="1" t="s">
        <v>44</v>
      </c>
      <c r="F8" s="1" t="s">
        <v>45</v>
      </c>
      <c r="G8" s="2">
        <v>8</v>
      </c>
      <c r="H8" s="7">
        <v>413.66</v>
      </c>
      <c r="I8" s="7">
        <v>3309.28</v>
      </c>
      <c r="J8" s="4">
        <v>45806</v>
      </c>
      <c r="K8" s="4" t="str">
        <f t="shared" si="0"/>
        <v>May</v>
      </c>
      <c r="L8" s="1" t="s">
        <v>18</v>
      </c>
      <c r="M8" s="1" t="s">
        <v>42</v>
      </c>
    </row>
    <row r="9" spans="1:13" x14ac:dyDescent="0.25">
      <c r="A9" s="1" t="s">
        <v>46</v>
      </c>
      <c r="B9" s="1" t="s">
        <v>47</v>
      </c>
      <c r="C9" s="1" t="s">
        <v>22</v>
      </c>
      <c r="D9" s="1" t="s">
        <v>28</v>
      </c>
      <c r="E9" s="1" t="s">
        <v>23</v>
      </c>
      <c r="F9" s="1" t="s">
        <v>48</v>
      </c>
      <c r="G9" s="2">
        <v>7</v>
      </c>
      <c r="H9" s="7">
        <v>458.7</v>
      </c>
      <c r="I9" s="7">
        <v>3210.9</v>
      </c>
      <c r="J9" s="4">
        <v>45987</v>
      </c>
      <c r="K9" s="4" t="str">
        <f t="shared" si="0"/>
        <v>November</v>
      </c>
      <c r="L9" s="1" t="s">
        <v>35</v>
      </c>
      <c r="M9" s="1" t="s">
        <v>42</v>
      </c>
    </row>
    <row r="10" spans="1:13" x14ac:dyDescent="0.25">
      <c r="A10" s="1" t="s">
        <v>49</v>
      </c>
      <c r="B10" s="1" t="s">
        <v>47</v>
      </c>
      <c r="C10" s="1" t="s">
        <v>14</v>
      </c>
      <c r="D10" s="1" t="s">
        <v>28</v>
      </c>
      <c r="E10" s="1" t="s">
        <v>23</v>
      </c>
      <c r="F10" s="1" t="s">
        <v>48</v>
      </c>
      <c r="G10" s="2">
        <v>2</v>
      </c>
      <c r="H10" s="7">
        <v>310.61</v>
      </c>
      <c r="I10" s="7">
        <v>621.22</v>
      </c>
      <c r="J10" s="4">
        <v>45888</v>
      </c>
      <c r="K10" s="4" t="str">
        <f t="shared" si="0"/>
        <v>August</v>
      </c>
      <c r="L10" s="1" t="s">
        <v>38</v>
      </c>
      <c r="M10" s="1" t="s">
        <v>42</v>
      </c>
    </row>
    <row r="11" spans="1:13" x14ac:dyDescent="0.25">
      <c r="A11" s="1" t="s">
        <v>50</v>
      </c>
      <c r="B11" s="1" t="s">
        <v>40</v>
      </c>
      <c r="C11" s="1" t="s">
        <v>14</v>
      </c>
      <c r="D11" s="1" t="s">
        <v>37</v>
      </c>
      <c r="E11" s="1" t="s">
        <v>16</v>
      </c>
      <c r="F11" s="1" t="s">
        <v>17</v>
      </c>
      <c r="G11" s="2">
        <v>3</v>
      </c>
      <c r="H11" s="7">
        <v>93.56</v>
      </c>
      <c r="I11" s="7">
        <v>280.68</v>
      </c>
      <c r="J11" s="4">
        <v>45837</v>
      </c>
      <c r="K11" s="4" t="str">
        <f t="shared" si="0"/>
        <v>June</v>
      </c>
      <c r="L11" s="1" t="s">
        <v>35</v>
      </c>
      <c r="M11" s="1" t="s">
        <v>19</v>
      </c>
    </row>
    <row r="12" spans="1:13" x14ac:dyDescent="0.25">
      <c r="A12" s="1" t="s">
        <v>51</v>
      </c>
      <c r="B12" s="1" t="s">
        <v>52</v>
      </c>
      <c r="C12" s="1" t="s">
        <v>22</v>
      </c>
      <c r="D12" s="1" t="s">
        <v>32</v>
      </c>
      <c r="E12" s="1" t="s">
        <v>23</v>
      </c>
      <c r="F12" s="1" t="s">
        <v>53</v>
      </c>
      <c r="G12" s="2">
        <v>1</v>
      </c>
      <c r="H12" s="7">
        <v>343.73</v>
      </c>
      <c r="I12" s="7">
        <v>343.73</v>
      </c>
      <c r="J12" s="4">
        <v>45984</v>
      </c>
      <c r="K12" s="4" t="str">
        <f t="shared" si="0"/>
        <v>November</v>
      </c>
      <c r="L12" s="1" t="s">
        <v>54</v>
      </c>
      <c r="M12" s="1" t="s">
        <v>29</v>
      </c>
    </row>
    <row r="13" spans="1:13" x14ac:dyDescent="0.25">
      <c r="A13" s="1" t="s">
        <v>55</v>
      </c>
      <c r="B13" s="1" t="s">
        <v>31</v>
      </c>
      <c r="C13" s="1" t="s">
        <v>14</v>
      </c>
      <c r="D13" s="1" t="s">
        <v>15</v>
      </c>
      <c r="E13" s="1" t="s">
        <v>33</v>
      </c>
      <c r="F13" s="1" t="s">
        <v>34</v>
      </c>
      <c r="G13" s="2">
        <v>9</v>
      </c>
      <c r="H13" s="7">
        <v>177.23</v>
      </c>
      <c r="I13" s="7">
        <v>1595.07</v>
      </c>
      <c r="J13" s="4">
        <v>45906</v>
      </c>
      <c r="K13" s="4" t="str">
        <f t="shared" si="0"/>
        <v>September</v>
      </c>
      <c r="L13" s="1" t="s">
        <v>18</v>
      </c>
      <c r="M13" s="1" t="s">
        <v>56</v>
      </c>
    </row>
    <row r="14" spans="1:13" x14ac:dyDescent="0.25">
      <c r="A14" s="1" t="s">
        <v>57</v>
      </c>
      <c r="B14" s="1" t="s">
        <v>40</v>
      </c>
      <c r="C14" s="1" t="s">
        <v>14</v>
      </c>
      <c r="D14" s="1" t="s">
        <v>15</v>
      </c>
      <c r="E14" s="1" t="s">
        <v>44</v>
      </c>
      <c r="F14" s="1" t="s">
        <v>45</v>
      </c>
      <c r="G14" s="2">
        <v>5</v>
      </c>
      <c r="H14" s="7">
        <v>396.08</v>
      </c>
      <c r="I14" s="7">
        <v>1980.4</v>
      </c>
      <c r="J14" s="4">
        <v>45764</v>
      </c>
      <c r="K14" s="4" t="str">
        <f t="shared" si="0"/>
        <v>April</v>
      </c>
      <c r="L14" s="1" t="s">
        <v>38</v>
      </c>
      <c r="M14" s="1" t="s">
        <v>25</v>
      </c>
    </row>
    <row r="15" spans="1:13" x14ac:dyDescent="0.25">
      <c r="A15" s="1" t="s">
        <v>58</v>
      </c>
      <c r="B15" s="1" t="s">
        <v>40</v>
      </c>
      <c r="C15" s="1" t="s">
        <v>22</v>
      </c>
      <c r="D15" s="1" t="s">
        <v>59</v>
      </c>
      <c r="E15" s="1" t="s">
        <v>33</v>
      </c>
      <c r="F15" s="1" t="s">
        <v>60</v>
      </c>
      <c r="G15" s="2">
        <v>1</v>
      </c>
      <c r="H15" s="7">
        <v>57.86</v>
      </c>
      <c r="I15" s="7">
        <v>57.86</v>
      </c>
      <c r="J15" s="4">
        <v>45799</v>
      </c>
      <c r="K15" s="4" t="str">
        <f t="shared" si="0"/>
        <v>May</v>
      </c>
      <c r="L15" s="1" t="s">
        <v>18</v>
      </c>
      <c r="M15" s="1" t="s">
        <v>19</v>
      </c>
    </row>
    <row r="16" spans="1:13" x14ac:dyDescent="0.25">
      <c r="A16" s="1" t="s">
        <v>61</v>
      </c>
      <c r="B16" s="1" t="s">
        <v>31</v>
      </c>
      <c r="C16" s="1" t="s">
        <v>22</v>
      </c>
      <c r="D16" s="1" t="s">
        <v>15</v>
      </c>
      <c r="E16" s="1" t="s">
        <v>44</v>
      </c>
      <c r="F16" s="1" t="s">
        <v>62</v>
      </c>
      <c r="G16" s="2">
        <v>3</v>
      </c>
      <c r="H16" s="7">
        <v>265.58</v>
      </c>
      <c r="I16" s="7">
        <v>796.74</v>
      </c>
      <c r="J16" s="4">
        <v>45752</v>
      </c>
      <c r="K16" s="4" t="str">
        <f t="shared" si="0"/>
        <v>April</v>
      </c>
      <c r="L16" s="1" t="s">
        <v>38</v>
      </c>
      <c r="M16" s="1" t="s">
        <v>19</v>
      </c>
    </row>
    <row r="17" spans="1:13" x14ac:dyDescent="0.25">
      <c r="A17" s="1" t="s">
        <v>63</v>
      </c>
      <c r="B17" s="1" t="s">
        <v>64</v>
      </c>
      <c r="C17" s="1" t="s">
        <v>22</v>
      </c>
      <c r="D17" s="1" t="s">
        <v>32</v>
      </c>
      <c r="E17" s="1" t="s">
        <v>33</v>
      </c>
      <c r="F17" s="1" t="s">
        <v>60</v>
      </c>
      <c r="G17" s="2">
        <v>5</v>
      </c>
      <c r="H17" s="7">
        <v>13.09</v>
      </c>
      <c r="I17" s="7">
        <v>104.72</v>
      </c>
      <c r="J17" s="4">
        <v>45669</v>
      </c>
      <c r="K17" s="4" t="str">
        <f t="shared" si="0"/>
        <v>January</v>
      </c>
      <c r="L17" s="1" t="s">
        <v>54</v>
      </c>
      <c r="M17" s="1" t="s">
        <v>56</v>
      </c>
    </row>
    <row r="18" spans="1:13" x14ac:dyDescent="0.25">
      <c r="A18" s="1" t="s">
        <v>65</v>
      </c>
      <c r="B18" s="1" t="s">
        <v>21</v>
      </c>
      <c r="C18" s="1" t="s">
        <v>22</v>
      </c>
      <c r="D18" s="1" t="s">
        <v>28</v>
      </c>
      <c r="E18" s="1" t="s">
        <v>23</v>
      </c>
      <c r="F18" s="1" t="s">
        <v>53</v>
      </c>
      <c r="G18" s="2">
        <v>9</v>
      </c>
      <c r="H18" s="7">
        <v>319.56</v>
      </c>
      <c r="I18" s="7">
        <v>2876.04</v>
      </c>
      <c r="J18" s="4">
        <v>45961</v>
      </c>
      <c r="K18" s="4" t="str">
        <f t="shared" si="0"/>
        <v>October</v>
      </c>
      <c r="L18" s="1" t="s">
        <v>35</v>
      </c>
      <c r="M18" s="1" t="s">
        <v>42</v>
      </c>
    </row>
    <row r="19" spans="1:13" x14ac:dyDescent="0.25">
      <c r="A19" s="1" t="s">
        <v>66</v>
      </c>
      <c r="B19" s="1" t="s">
        <v>27</v>
      </c>
      <c r="C19" s="1" t="s">
        <v>14</v>
      </c>
      <c r="D19" s="1" t="s">
        <v>28</v>
      </c>
      <c r="E19" s="1" t="s">
        <v>23</v>
      </c>
      <c r="F19" s="1" t="s">
        <v>24</v>
      </c>
      <c r="G19" s="2">
        <v>9</v>
      </c>
      <c r="H19" s="7">
        <v>395.76</v>
      </c>
      <c r="I19" s="7">
        <v>3561.84</v>
      </c>
      <c r="J19" s="4">
        <v>45916</v>
      </c>
      <c r="K19" s="4" t="str">
        <f t="shared" si="0"/>
        <v>September</v>
      </c>
      <c r="L19" s="1" t="s">
        <v>38</v>
      </c>
      <c r="M19" s="1" t="s">
        <v>19</v>
      </c>
    </row>
    <row r="20" spans="1:13" x14ac:dyDescent="0.25">
      <c r="A20" s="1" t="s">
        <v>67</v>
      </c>
      <c r="B20" s="1" t="s">
        <v>47</v>
      </c>
      <c r="C20" s="1" t="s">
        <v>22</v>
      </c>
      <c r="D20" s="1" t="s">
        <v>68</v>
      </c>
      <c r="E20" s="1" t="s">
        <v>33</v>
      </c>
      <c r="F20" s="1" t="s">
        <v>34</v>
      </c>
      <c r="G20" s="2">
        <v>5</v>
      </c>
      <c r="H20" s="7">
        <v>184.29</v>
      </c>
      <c r="I20" s="7">
        <v>921.45</v>
      </c>
      <c r="J20" s="4">
        <v>45864</v>
      </c>
      <c r="K20" s="4" t="str">
        <f t="shared" si="0"/>
        <v>July</v>
      </c>
      <c r="L20" s="1" t="s">
        <v>35</v>
      </c>
      <c r="M20" s="1" t="s">
        <v>56</v>
      </c>
    </row>
    <row r="21" spans="1:13" x14ac:dyDescent="0.25">
      <c r="A21" s="1" t="s">
        <v>69</v>
      </c>
      <c r="B21" s="1" t="s">
        <v>31</v>
      </c>
      <c r="C21" s="1" t="s">
        <v>22</v>
      </c>
      <c r="D21" s="1" t="s">
        <v>37</v>
      </c>
      <c r="E21" s="1" t="s">
        <v>23</v>
      </c>
      <c r="F21" s="1" t="s">
        <v>53</v>
      </c>
      <c r="G21" s="2">
        <v>7</v>
      </c>
      <c r="H21" s="7">
        <v>176.65</v>
      </c>
      <c r="I21" s="7">
        <v>1236.55</v>
      </c>
      <c r="J21" s="4">
        <v>45892</v>
      </c>
      <c r="K21" s="4" t="str">
        <f t="shared" si="0"/>
        <v>August</v>
      </c>
      <c r="L21" s="1" t="s">
        <v>35</v>
      </c>
      <c r="M21" s="1" t="s">
        <v>25</v>
      </c>
    </row>
    <row r="22" spans="1:13" x14ac:dyDescent="0.25">
      <c r="A22" s="1" t="s">
        <v>70</v>
      </c>
      <c r="B22" s="1" t="s">
        <v>71</v>
      </c>
      <c r="C22" s="1" t="s">
        <v>22</v>
      </c>
      <c r="D22" s="1" t="s">
        <v>59</v>
      </c>
      <c r="E22" s="1" t="s">
        <v>33</v>
      </c>
      <c r="F22" s="1" t="s">
        <v>72</v>
      </c>
      <c r="G22" s="2">
        <v>8</v>
      </c>
      <c r="H22" s="7">
        <v>282.35000000000002</v>
      </c>
      <c r="I22" s="7">
        <v>2258.8000000000002</v>
      </c>
      <c r="J22" s="4">
        <v>45994</v>
      </c>
      <c r="K22" s="4" t="str">
        <f t="shared" si="0"/>
        <v>December</v>
      </c>
      <c r="L22" s="1" t="s">
        <v>73</v>
      </c>
      <c r="M22" s="1" t="s">
        <v>42</v>
      </c>
    </row>
    <row r="23" spans="1:13" x14ac:dyDescent="0.25">
      <c r="A23" s="1" t="s">
        <v>74</v>
      </c>
      <c r="B23" s="1" t="s">
        <v>75</v>
      </c>
      <c r="C23" s="1" t="s">
        <v>14</v>
      </c>
      <c r="D23" s="1" t="s">
        <v>15</v>
      </c>
      <c r="E23" s="1" t="s">
        <v>44</v>
      </c>
      <c r="F23" s="1" t="s">
        <v>62</v>
      </c>
      <c r="G23" s="2">
        <v>10</v>
      </c>
      <c r="H23" s="7">
        <v>383.51</v>
      </c>
      <c r="I23" s="7">
        <v>3835.1</v>
      </c>
      <c r="J23" s="4">
        <v>45937</v>
      </c>
      <c r="K23" s="4" t="str">
        <f t="shared" si="0"/>
        <v>October</v>
      </c>
      <c r="L23" s="1" t="s">
        <v>54</v>
      </c>
      <c r="M23" s="1" t="s">
        <v>42</v>
      </c>
    </row>
    <row r="24" spans="1:13" x14ac:dyDescent="0.25">
      <c r="A24" s="1" t="s">
        <v>76</v>
      </c>
      <c r="B24" s="1" t="s">
        <v>40</v>
      </c>
      <c r="C24" s="1" t="s">
        <v>14</v>
      </c>
      <c r="D24" s="1" t="s">
        <v>32</v>
      </c>
      <c r="E24" s="1" t="s">
        <v>23</v>
      </c>
      <c r="F24" s="1" t="s">
        <v>48</v>
      </c>
      <c r="G24" s="2">
        <v>7</v>
      </c>
      <c r="H24" s="7">
        <v>415</v>
      </c>
      <c r="I24" s="7">
        <v>2905</v>
      </c>
      <c r="J24" s="4">
        <v>45839</v>
      </c>
      <c r="K24" s="4" t="str">
        <f t="shared" si="0"/>
        <v>July</v>
      </c>
      <c r="L24" s="1" t="s">
        <v>35</v>
      </c>
      <c r="M24" s="1" t="s">
        <v>56</v>
      </c>
    </row>
    <row r="25" spans="1:13" x14ac:dyDescent="0.25">
      <c r="A25" s="1" t="s">
        <v>77</v>
      </c>
      <c r="B25" s="1" t="s">
        <v>47</v>
      </c>
      <c r="C25" s="1" t="s">
        <v>22</v>
      </c>
      <c r="D25" s="1" t="s">
        <v>68</v>
      </c>
      <c r="E25" s="1" t="s">
        <v>23</v>
      </c>
      <c r="F25" s="1" t="s">
        <v>48</v>
      </c>
      <c r="G25" s="2">
        <v>10</v>
      </c>
      <c r="H25" s="7">
        <v>132.85</v>
      </c>
      <c r="I25" s="7">
        <v>1328.5</v>
      </c>
      <c r="J25" s="4">
        <v>45682</v>
      </c>
      <c r="K25" s="4" t="str">
        <f t="shared" si="0"/>
        <v>January</v>
      </c>
      <c r="L25" s="1" t="s">
        <v>35</v>
      </c>
      <c r="M25" s="1" t="s">
        <v>25</v>
      </c>
    </row>
    <row r="26" spans="1:13" x14ac:dyDescent="0.25">
      <c r="A26" s="1" t="s">
        <v>78</v>
      </c>
      <c r="B26" s="1" t="s">
        <v>47</v>
      </c>
      <c r="C26" s="1" t="s">
        <v>22</v>
      </c>
      <c r="D26" s="1" t="s">
        <v>32</v>
      </c>
      <c r="E26" s="1" t="s">
        <v>23</v>
      </c>
      <c r="F26" s="1" t="s">
        <v>48</v>
      </c>
      <c r="G26" s="2">
        <v>2</v>
      </c>
      <c r="H26" s="7">
        <v>286.70999999999998</v>
      </c>
      <c r="I26" s="7">
        <v>573.41999999999996</v>
      </c>
      <c r="J26" s="4">
        <v>45915</v>
      </c>
      <c r="K26" s="4" t="str">
        <f t="shared" si="0"/>
        <v>September</v>
      </c>
      <c r="L26" s="1" t="s">
        <v>38</v>
      </c>
      <c r="M26" s="1" t="s">
        <v>29</v>
      </c>
    </row>
    <row r="27" spans="1:13" x14ac:dyDescent="0.25">
      <c r="A27" s="1" t="s">
        <v>79</v>
      </c>
      <c r="B27" s="1" t="s">
        <v>27</v>
      </c>
      <c r="C27" s="1" t="s">
        <v>14</v>
      </c>
      <c r="D27" s="1" t="s">
        <v>68</v>
      </c>
      <c r="E27" s="1" t="s">
        <v>23</v>
      </c>
      <c r="F27" s="1" t="s">
        <v>48</v>
      </c>
      <c r="G27" s="2">
        <v>2</v>
      </c>
      <c r="H27" s="7">
        <v>474.17</v>
      </c>
      <c r="I27" s="7">
        <v>948.34</v>
      </c>
      <c r="J27" s="4">
        <v>45816</v>
      </c>
      <c r="K27" s="4" t="str">
        <f t="shared" si="0"/>
        <v>June</v>
      </c>
      <c r="L27" s="1" t="s">
        <v>18</v>
      </c>
      <c r="M27" s="1" t="s">
        <v>19</v>
      </c>
    </row>
    <row r="28" spans="1:13" x14ac:dyDescent="0.25">
      <c r="A28" s="1" t="s">
        <v>80</v>
      </c>
      <c r="B28" s="1" t="s">
        <v>13</v>
      </c>
      <c r="C28" s="1" t="s">
        <v>14</v>
      </c>
      <c r="D28" s="1" t="s">
        <v>37</v>
      </c>
      <c r="E28" s="1" t="s">
        <v>33</v>
      </c>
      <c r="F28" s="1" t="s">
        <v>34</v>
      </c>
      <c r="G28" s="2">
        <v>8</v>
      </c>
      <c r="H28" s="7">
        <v>423.33</v>
      </c>
      <c r="I28" s="7">
        <v>3386.64</v>
      </c>
      <c r="J28" s="4">
        <v>45790</v>
      </c>
      <c r="K28" s="4" t="str">
        <f t="shared" si="0"/>
        <v>May</v>
      </c>
      <c r="L28" s="1" t="s">
        <v>18</v>
      </c>
      <c r="M28" s="1" t="s">
        <v>19</v>
      </c>
    </row>
    <row r="29" spans="1:13" x14ac:dyDescent="0.25">
      <c r="A29" s="1" t="s">
        <v>81</v>
      </c>
      <c r="B29" s="1" t="s">
        <v>82</v>
      </c>
      <c r="C29" s="1" t="s">
        <v>22</v>
      </c>
      <c r="D29" s="1" t="s">
        <v>83</v>
      </c>
      <c r="E29" s="1" t="s">
        <v>33</v>
      </c>
      <c r="F29" s="1" t="s">
        <v>60</v>
      </c>
      <c r="G29" s="2">
        <v>6</v>
      </c>
      <c r="H29" s="7">
        <v>192.43</v>
      </c>
      <c r="I29" s="7">
        <v>1154.58</v>
      </c>
      <c r="J29" s="4">
        <v>45789</v>
      </c>
      <c r="K29" s="4" t="str">
        <f t="shared" si="0"/>
        <v>May</v>
      </c>
      <c r="L29" s="1" t="s">
        <v>35</v>
      </c>
      <c r="M29" s="1" t="s">
        <v>56</v>
      </c>
    </row>
    <row r="30" spans="1:13" x14ac:dyDescent="0.25">
      <c r="A30" s="1" t="s">
        <v>84</v>
      </c>
      <c r="B30" s="1" t="s">
        <v>40</v>
      </c>
      <c r="C30" s="1" t="s">
        <v>14</v>
      </c>
      <c r="D30" s="1" t="s">
        <v>37</v>
      </c>
      <c r="E30" s="1" t="s">
        <v>33</v>
      </c>
      <c r="F30" s="1" t="s">
        <v>72</v>
      </c>
      <c r="G30" s="2">
        <v>10</v>
      </c>
      <c r="H30" s="7">
        <v>65.099999999999994</v>
      </c>
      <c r="I30" s="7">
        <v>651</v>
      </c>
      <c r="J30" s="4">
        <v>45833</v>
      </c>
      <c r="K30" s="4" t="str">
        <f t="shared" si="0"/>
        <v>June</v>
      </c>
      <c r="L30" s="1" t="s">
        <v>54</v>
      </c>
      <c r="M30" s="1" t="s">
        <v>56</v>
      </c>
    </row>
    <row r="31" spans="1:13" x14ac:dyDescent="0.25">
      <c r="A31" s="1" t="s">
        <v>85</v>
      </c>
      <c r="B31" s="1" t="s">
        <v>21</v>
      </c>
      <c r="C31" s="1" t="s">
        <v>22</v>
      </c>
      <c r="D31" s="1" t="s">
        <v>59</v>
      </c>
      <c r="E31" s="1" t="s">
        <v>44</v>
      </c>
      <c r="F31" s="1" t="s">
        <v>45</v>
      </c>
      <c r="G31" s="2">
        <v>2</v>
      </c>
      <c r="H31" s="7">
        <v>58.48</v>
      </c>
      <c r="I31" s="7">
        <v>116.96</v>
      </c>
      <c r="J31" s="4">
        <v>45931</v>
      </c>
      <c r="K31" s="4" t="str">
        <f t="shared" si="0"/>
        <v>October</v>
      </c>
      <c r="L31" s="1" t="s">
        <v>35</v>
      </c>
      <c r="M31" s="1" t="s">
        <v>42</v>
      </c>
    </row>
    <row r="32" spans="1:13" x14ac:dyDescent="0.25">
      <c r="A32" s="1" t="s">
        <v>86</v>
      </c>
      <c r="B32" s="1" t="s">
        <v>31</v>
      </c>
      <c r="C32" s="1" t="s">
        <v>14</v>
      </c>
      <c r="D32" s="1" t="s">
        <v>59</v>
      </c>
      <c r="E32" s="1" t="s">
        <v>33</v>
      </c>
      <c r="F32" s="1" t="s">
        <v>34</v>
      </c>
      <c r="G32" s="2">
        <v>6</v>
      </c>
      <c r="H32" s="7">
        <v>26.96</v>
      </c>
      <c r="I32" s="7">
        <v>161.76</v>
      </c>
      <c r="J32" s="4">
        <v>45923</v>
      </c>
      <c r="K32" s="4" t="str">
        <f t="shared" si="0"/>
        <v>September</v>
      </c>
      <c r="L32" s="1" t="s">
        <v>54</v>
      </c>
      <c r="M32" s="1" t="s">
        <v>19</v>
      </c>
    </row>
    <row r="33" spans="1:13" x14ac:dyDescent="0.25">
      <c r="A33" s="1" t="s">
        <v>87</v>
      </c>
      <c r="B33" s="1" t="s">
        <v>64</v>
      </c>
      <c r="C33" s="1" t="s">
        <v>22</v>
      </c>
      <c r="D33" s="1" t="s">
        <v>59</v>
      </c>
      <c r="E33" s="1" t="s">
        <v>23</v>
      </c>
      <c r="F33" s="1" t="s">
        <v>24</v>
      </c>
      <c r="G33" s="2">
        <v>2</v>
      </c>
      <c r="H33" s="7">
        <v>453.74</v>
      </c>
      <c r="I33" s="7">
        <v>907.48</v>
      </c>
      <c r="J33" s="4">
        <v>45946</v>
      </c>
      <c r="K33" s="4" t="str">
        <f t="shared" si="0"/>
        <v>October</v>
      </c>
      <c r="L33" s="1" t="s">
        <v>54</v>
      </c>
      <c r="M33" s="1" t="s">
        <v>19</v>
      </c>
    </row>
    <row r="34" spans="1:13" x14ac:dyDescent="0.25">
      <c r="A34" s="1" t="s">
        <v>88</v>
      </c>
      <c r="B34" s="1" t="s">
        <v>27</v>
      </c>
      <c r="C34" s="1" t="s">
        <v>14</v>
      </c>
      <c r="D34" s="1" t="s">
        <v>15</v>
      </c>
      <c r="E34" s="1" t="s">
        <v>44</v>
      </c>
      <c r="F34" s="1" t="s">
        <v>45</v>
      </c>
      <c r="G34" s="2">
        <v>10</v>
      </c>
      <c r="H34" s="7">
        <v>412.93</v>
      </c>
      <c r="I34" s="7">
        <v>4129.3</v>
      </c>
      <c r="J34" s="4">
        <v>45951</v>
      </c>
      <c r="K34" s="4" t="str">
        <f t="shared" ref="K34:K65" si="1">TEXT(J34,"MMMM")</f>
        <v>October</v>
      </c>
      <c r="L34" s="1" t="s">
        <v>18</v>
      </c>
      <c r="M34" s="1" t="s">
        <v>25</v>
      </c>
    </row>
    <row r="35" spans="1:13" x14ac:dyDescent="0.25">
      <c r="A35" s="1" t="s">
        <v>89</v>
      </c>
      <c r="B35" s="1" t="s">
        <v>21</v>
      </c>
      <c r="C35" s="1" t="s">
        <v>22</v>
      </c>
      <c r="D35" s="1" t="s">
        <v>68</v>
      </c>
      <c r="E35" s="1" t="s">
        <v>33</v>
      </c>
      <c r="F35" s="1" t="s">
        <v>34</v>
      </c>
      <c r="G35" s="2">
        <v>1</v>
      </c>
      <c r="H35" s="7">
        <v>298.67</v>
      </c>
      <c r="I35" s="7">
        <v>298.67</v>
      </c>
      <c r="J35" s="4">
        <v>45956</v>
      </c>
      <c r="K35" s="4" t="str">
        <f t="shared" si="1"/>
        <v>October</v>
      </c>
      <c r="L35" s="1" t="s">
        <v>38</v>
      </c>
      <c r="M35" s="1" t="s">
        <v>42</v>
      </c>
    </row>
    <row r="36" spans="1:13" x14ac:dyDescent="0.25">
      <c r="A36" s="1" t="s">
        <v>90</v>
      </c>
      <c r="B36" s="1" t="s">
        <v>21</v>
      </c>
      <c r="C36" s="1" t="s">
        <v>22</v>
      </c>
      <c r="D36" s="1" t="s">
        <v>68</v>
      </c>
      <c r="E36" s="1" t="s">
        <v>44</v>
      </c>
      <c r="F36" s="1" t="s">
        <v>91</v>
      </c>
      <c r="G36" s="2">
        <v>1</v>
      </c>
      <c r="H36" s="7">
        <v>60.43</v>
      </c>
      <c r="I36" s="7">
        <v>60.43</v>
      </c>
      <c r="J36" s="4">
        <v>45861</v>
      </c>
      <c r="K36" s="4" t="str">
        <f t="shared" si="1"/>
        <v>July</v>
      </c>
      <c r="L36" s="1" t="s">
        <v>35</v>
      </c>
      <c r="M36" s="1" t="s">
        <v>56</v>
      </c>
    </row>
    <row r="37" spans="1:13" x14ac:dyDescent="0.25">
      <c r="A37" s="1" t="s">
        <v>92</v>
      </c>
      <c r="B37" s="1" t="s">
        <v>64</v>
      </c>
      <c r="C37" s="1" t="s">
        <v>22</v>
      </c>
      <c r="D37" s="1" t="s">
        <v>32</v>
      </c>
      <c r="E37" s="1" t="s">
        <v>44</v>
      </c>
      <c r="F37" s="1" t="s">
        <v>91</v>
      </c>
      <c r="G37" s="2">
        <v>3</v>
      </c>
      <c r="H37" s="7">
        <v>382.77</v>
      </c>
      <c r="I37" s="7">
        <v>1148.31</v>
      </c>
      <c r="J37" s="4">
        <v>45916</v>
      </c>
      <c r="K37" s="4" t="str">
        <f t="shared" si="1"/>
        <v>September</v>
      </c>
      <c r="L37" s="1" t="s">
        <v>35</v>
      </c>
      <c r="M37" s="1" t="s">
        <v>25</v>
      </c>
    </row>
    <row r="38" spans="1:13" x14ac:dyDescent="0.25">
      <c r="A38" s="1" t="s">
        <v>93</v>
      </c>
      <c r="B38" s="1" t="s">
        <v>21</v>
      </c>
      <c r="C38" s="1" t="s">
        <v>22</v>
      </c>
      <c r="D38" s="1" t="s">
        <v>37</v>
      </c>
      <c r="E38" s="1" t="s">
        <v>33</v>
      </c>
      <c r="F38" s="1" t="s">
        <v>72</v>
      </c>
      <c r="G38" s="2">
        <v>1</v>
      </c>
      <c r="H38" s="7">
        <v>128.22999999999999</v>
      </c>
      <c r="I38" s="7">
        <v>128.22999999999999</v>
      </c>
      <c r="J38" s="4">
        <v>45984</v>
      </c>
      <c r="K38" s="4" t="str">
        <f t="shared" si="1"/>
        <v>November</v>
      </c>
      <c r="L38" s="1" t="s">
        <v>35</v>
      </c>
      <c r="M38" s="1" t="s">
        <v>56</v>
      </c>
    </row>
    <row r="39" spans="1:13" x14ac:dyDescent="0.25">
      <c r="A39" s="1" t="s">
        <v>94</v>
      </c>
      <c r="B39" s="1" t="s">
        <v>47</v>
      </c>
      <c r="C39" s="1" t="s">
        <v>14</v>
      </c>
      <c r="D39" s="1" t="s">
        <v>15</v>
      </c>
      <c r="E39" s="1" t="s">
        <v>44</v>
      </c>
      <c r="F39" s="1" t="s">
        <v>62</v>
      </c>
      <c r="G39" s="2">
        <v>10</v>
      </c>
      <c r="H39" s="7">
        <v>302.76</v>
      </c>
      <c r="I39" s="7">
        <v>3027.6</v>
      </c>
      <c r="J39" s="4">
        <v>45938</v>
      </c>
      <c r="K39" s="4" t="str">
        <f t="shared" si="1"/>
        <v>October</v>
      </c>
      <c r="L39" s="1" t="s">
        <v>38</v>
      </c>
      <c r="M39" s="1" t="s">
        <v>42</v>
      </c>
    </row>
    <row r="40" spans="1:13" x14ac:dyDescent="0.25">
      <c r="A40" s="1" t="s">
        <v>95</v>
      </c>
      <c r="B40" s="1" t="s">
        <v>13</v>
      </c>
      <c r="C40" s="1" t="s">
        <v>22</v>
      </c>
      <c r="D40" s="1" t="s">
        <v>28</v>
      </c>
      <c r="E40" s="1" t="s">
        <v>33</v>
      </c>
      <c r="F40" s="1" t="s">
        <v>72</v>
      </c>
      <c r="G40" s="2">
        <v>4</v>
      </c>
      <c r="H40" s="7">
        <v>370.71</v>
      </c>
      <c r="I40" s="7">
        <v>1482.84</v>
      </c>
      <c r="J40" s="4">
        <v>45828</v>
      </c>
      <c r="K40" s="4" t="str">
        <f t="shared" si="1"/>
        <v>June</v>
      </c>
      <c r="L40" s="1" t="s">
        <v>18</v>
      </c>
      <c r="M40" s="1" t="s">
        <v>42</v>
      </c>
    </row>
    <row r="41" spans="1:13" x14ac:dyDescent="0.25">
      <c r="A41" s="1" t="s">
        <v>96</v>
      </c>
      <c r="B41" s="1" t="s">
        <v>82</v>
      </c>
      <c r="C41" s="1" t="s">
        <v>22</v>
      </c>
      <c r="D41" s="1" t="s">
        <v>15</v>
      </c>
      <c r="E41" s="1" t="s">
        <v>44</v>
      </c>
      <c r="F41" s="1" t="s">
        <v>91</v>
      </c>
      <c r="G41" s="2">
        <v>3</v>
      </c>
      <c r="H41" s="7">
        <v>114.5</v>
      </c>
      <c r="I41" s="7">
        <v>343.5</v>
      </c>
      <c r="J41" s="4">
        <v>45918</v>
      </c>
      <c r="K41" s="4" t="str">
        <f t="shared" si="1"/>
        <v>September</v>
      </c>
      <c r="L41" s="1" t="s">
        <v>38</v>
      </c>
      <c r="M41" s="1" t="s">
        <v>19</v>
      </c>
    </row>
    <row r="42" spans="1:13" x14ac:dyDescent="0.25">
      <c r="A42" s="1" t="s">
        <v>97</v>
      </c>
      <c r="B42" s="1" t="s">
        <v>64</v>
      </c>
      <c r="C42" s="1" t="s">
        <v>22</v>
      </c>
      <c r="D42" s="1" t="s">
        <v>28</v>
      </c>
      <c r="E42" s="1" t="s">
        <v>16</v>
      </c>
      <c r="F42" s="1" t="s">
        <v>98</v>
      </c>
      <c r="G42" s="2">
        <v>6</v>
      </c>
      <c r="H42" s="7">
        <v>396.49</v>
      </c>
      <c r="I42" s="7">
        <v>2378.94</v>
      </c>
      <c r="J42" s="4">
        <v>45907</v>
      </c>
      <c r="K42" s="4" t="str">
        <f t="shared" si="1"/>
        <v>September</v>
      </c>
      <c r="L42" s="1" t="s">
        <v>54</v>
      </c>
      <c r="M42" s="1" t="s">
        <v>56</v>
      </c>
    </row>
    <row r="43" spans="1:13" x14ac:dyDescent="0.25">
      <c r="A43" s="1" t="s">
        <v>99</v>
      </c>
      <c r="B43" s="1" t="s">
        <v>40</v>
      </c>
      <c r="C43" s="1" t="s">
        <v>14</v>
      </c>
      <c r="D43" s="1" t="s">
        <v>68</v>
      </c>
      <c r="E43" s="1" t="s">
        <v>33</v>
      </c>
      <c r="F43" s="1" t="s">
        <v>60</v>
      </c>
      <c r="G43" s="2">
        <v>8</v>
      </c>
      <c r="H43" s="7">
        <v>349.25</v>
      </c>
      <c r="I43" s="7">
        <v>2794</v>
      </c>
      <c r="J43" s="4">
        <v>45793</v>
      </c>
      <c r="K43" s="4" t="str">
        <f t="shared" si="1"/>
        <v>May</v>
      </c>
      <c r="L43" s="1" t="s">
        <v>38</v>
      </c>
      <c r="M43" s="1" t="s">
        <v>56</v>
      </c>
    </row>
    <row r="44" spans="1:13" x14ac:dyDescent="0.25">
      <c r="A44" s="1" t="s">
        <v>100</v>
      </c>
      <c r="B44" s="1" t="s">
        <v>21</v>
      </c>
      <c r="C44" s="1" t="s">
        <v>14</v>
      </c>
      <c r="D44" s="1" t="s">
        <v>59</v>
      </c>
      <c r="E44" s="1" t="s">
        <v>44</v>
      </c>
      <c r="F44" s="1" t="s">
        <v>91</v>
      </c>
      <c r="G44" s="2">
        <v>10</v>
      </c>
      <c r="H44" s="7">
        <v>73.42</v>
      </c>
      <c r="I44" s="7">
        <v>734.2</v>
      </c>
      <c r="J44" s="4">
        <v>45660</v>
      </c>
      <c r="K44" s="4" t="str">
        <f t="shared" si="1"/>
        <v>January</v>
      </c>
      <c r="L44" s="1" t="s">
        <v>38</v>
      </c>
      <c r="M44" s="1" t="s">
        <v>29</v>
      </c>
    </row>
    <row r="45" spans="1:13" x14ac:dyDescent="0.25">
      <c r="A45" s="1" t="s">
        <v>101</v>
      </c>
      <c r="B45" s="1" t="s">
        <v>71</v>
      </c>
      <c r="C45" s="1" t="s">
        <v>14</v>
      </c>
      <c r="D45" s="1" t="s">
        <v>32</v>
      </c>
      <c r="E45" s="1" t="s">
        <v>23</v>
      </c>
      <c r="F45" s="1" t="s">
        <v>53</v>
      </c>
      <c r="G45" s="2">
        <v>9</v>
      </c>
      <c r="H45" s="7">
        <v>306.58</v>
      </c>
      <c r="I45" s="7">
        <v>2759.22</v>
      </c>
      <c r="J45" s="4">
        <v>45821</v>
      </c>
      <c r="K45" s="4" t="str">
        <f t="shared" si="1"/>
        <v>June</v>
      </c>
      <c r="L45" s="1" t="s">
        <v>18</v>
      </c>
      <c r="M45" s="1" t="s">
        <v>25</v>
      </c>
    </row>
    <row r="46" spans="1:13" x14ac:dyDescent="0.25">
      <c r="A46" s="1" t="s">
        <v>102</v>
      </c>
      <c r="B46" s="1" t="s">
        <v>13</v>
      </c>
      <c r="C46" s="1" t="s">
        <v>22</v>
      </c>
      <c r="D46" s="1" t="s">
        <v>37</v>
      </c>
      <c r="E46" s="1" t="s">
        <v>44</v>
      </c>
      <c r="F46" s="1" t="s">
        <v>45</v>
      </c>
      <c r="G46" s="2">
        <v>2</v>
      </c>
      <c r="H46" s="7">
        <v>493.99</v>
      </c>
      <c r="I46" s="7">
        <v>987.98</v>
      </c>
      <c r="J46" s="4">
        <v>45985</v>
      </c>
      <c r="K46" s="4" t="str">
        <f t="shared" si="1"/>
        <v>November</v>
      </c>
      <c r="L46" s="1" t="s">
        <v>54</v>
      </c>
      <c r="M46" s="1" t="s">
        <v>56</v>
      </c>
    </row>
    <row r="47" spans="1:13" x14ac:dyDescent="0.25">
      <c r="A47" s="1" t="s">
        <v>103</v>
      </c>
      <c r="B47" s="1" t="s">
        <v>13</v>
      </c>
      <c r="C47" s="1" t="s">
        <v>22</v>
      </c>
      <c r="D47" s="1" t="s">
        <v>37</v>
      </c>
      <c r="E47" s="1" t="s">
        <v>44</v>
      </c>
      <c r="F47" s="1" t="s">
        <v>45</v>
      </c>
      <c r="G47" s="2">
        <v>2</v>
      </c>
      <c r="H47" s="7">
        <v>68.150000000000006</v>
      </c>
      <c r="I47" s="7">
        <v>136.30000000000001</v>
      </c>
      <c r="J47" s="4">
        <v>45926</v>
      </c>
      <c r="K47" s="4" t="str">
        <f t="shared" si="1"/>
        <v>September</v>
      </c>
      <c r="L47" s="1" t="s">
        <v>54</v>
      </c>
      <c r="M47" s="1" t="s">
        <v>19</v>
      </c>
    </row>
    <row r="48" spans="1:13" x14ac:dyDescent="0.25">
      <c r="A48" s="1" t="s">
        <v>104</v>
      </c>
      <c r="B48" s="1" t="s">
        <v>71</v>
      </c>
      <c r="C48" s="1" t="s">
        <v>22</v>
      </c>
      <c r="D48" s="1" t="s">
        <v>37</v>
      </c>
      <c r="E48" s="1" t="s">
        <v>23</v>
      </c>
      <c r="F48" s="1" t="s">
        <v>53</v>
      </c>
      <c r="G48" s="2">
        <v>5</v>
      </c>
      <c r="H48" s="7">
        <v>330.84</v>
      </c>
      <c r="I48" s="7">
        <v>1654.2</v>
      </c>
      <c r="J48" s="4">
        <v>45968</v>
      </c>
      <c r="K48" s="4" t="str">
        <f t="shared" si="1"/>
        <v>November</v>
      </c>
      <c r="L48" s="1" t="s">
        <v>38</v>
      </c>
      <c r="M48" s="1" t="s">
        <v>25</v>
      </c>
    </row>
    <row r="49" spans="1:13" x14ac:dyDescent="0.25">
      <c r="A49" s="1" t="s">
        <v>105</v>
      </c>
      <c r="B49" s="1" t="s">
        <v>21</v>
      </c>
      <c r="C49" s="1" t="s">
        <v>22</v>
      </c>
      <c r="D49" s="1" t="s">
        <v>32</v>
      </c>
      <c r="E49" s="1" t="s">
        <v>44</v>
      </c>
      <c r="F49" s="1" t="s">
        <v>62</v>
      </c>
      <c r="G49" s="2">
        <v>4</v>
      </c>
      <c r="H49" s="7">
        <v>17.170000000000002</v>
      </c>
      <c r="I49" s="7">
        <v>68.680000000000007</v>
      </c>
      <c r="J49" s="4">
        <v>45834</v>
      </c>
      <c r="K49" s="4" t="str">
        <f t="shared" si="1"/>
        <v>June</v>
      </c>
      <c r="L49" s="1" t="s">
        <v>38</v>
      </c>
      <c r="M49" s="1" t="s">
        <v>42</v>
      </c>
    </row>
    <row r="50" spans="1:13" x14ac:dyDescent="0.25">
      <c r="A50" s="1" t="s">
        <v>106</v>
      </c>
      <c r="B50" s="1" t="s">
        <v>40</v>
      </c>
      <c r="C50" s="1" t="s">
        <v>22</v>
      </c>
      <c r="D50" s="1" t="s">
        <v>83</v>
      </c>
      <c r="E50" s="1" t="s">
        <v>33</v>
      </c>
      <c r="F50" s="1" t="s">
        <v>72</v>
      </c>
      <c r="G50" s="2">
        <v>2</v>
      </c>
      <c r="H50" s="7">
        <v>499.51</v>
      </c>
      <c r="I50" s="7">
        <v>999.02</v>
      </c>
      <c r="J50" s="4">
        <v>45658</v>
      </c>
      <c r="K50" s="4" t="str">
        <f t="shared" si="1"/>
        <v>January</v>
      </c>
      <c r="L50" s="1" t="s">
        <v>18</v>
      </c>
      <c r="M50" s="1" t="s">
        <v>42</v>
      </c>
    </row>
    <row r="51" spans="1:13" x14ac:dyDescent="0.25">
      <c r="A51" s="1" t="s">
        <v>107</v>
      </c>
      <c r="B51" s="1" t="s">
        <v>82</v>
      </c>
      <c r="C51" s="1" t="s">
        <v>14</v>
      </c>
      <c r="D51" s="1" t="s">
        <v>28</v>
      </c>
      <c r="E51" s="1" t="s">
        <v>16</v>
      </c>
      <c r="F51" s="1" t="s">
        <v>17</v>
      </c>
      <c r="G51" s="2">
        <v>9</v>
      </c>
      <c r="H51" s="7">
        <v>256.67</v>
      </c>
      <c r="I51" s="7">
        <v>2310.0300000000002</v>
      </c>
      <c r="J51" s="4">
        <v>45921</v>
      </c>
      <c r="K51" s="4" t="str">
        <f t="shared" si="1"/>
        <v>September</v>
      </c>
      <c r="L51" s="1" t="s">
        <v>54</v>
      </c>
      <c r="M51" s="1" t="s">
        <v>29</v>
      </c>
    </row>
    <row r="52" spans="1:13" x14ac:dyDescent="0.25">
      <c r="A52" s="1" t="s">
        <v>108</v>
      </c>
      <c r="B52" s="1" t="s">
        <v>75</v>
      </c>
      <c r="C52" s="1" t="s">
        <v>22</v>
      </c>
      <c r="D52" s="1" t="s">
        <v>37</v>
      </c>
      <c r="E52" s="1" t="s">
        <v>44</v>
      </c>
      <c r="F52" s="1" t="s">
        <v>91</v>
      </c>
      <c r="G52" s="2">
        <v>6</v>
      </c>
      <c r="H52" s="7">
        <v>171.68</v>
      </c>
      <c r="I52" s="7">
        <v>1030.08</v>
      </c>
      <c r="J52" s="4">
        <v>45744</v>
      </c>
      <c r="K52" s="4" t="str">
        <f t="shared" si="1"/>
        <v>March</v>
      </c>
      <c r="L52" s="1" t="s">
        <v>54</v>
      </c>
      <c r="M52" s="1" t="s">
        <v>19</v>
      </c>
    </row>
    <row r="53" spans="1:13" x14ac:dyDescent="0.25">
      <c r="A53" s="1" t="s">
        <v>109</v>
      </c>
      <c r="B53" s="1" t="s">
        <v>13</v>
      </c>
      <c r="C53" s="1" t="s">
        <v>22</v>
      </c>
      <c r="D53" s="1" t="s">
        <v>59</v>
      </c>
      <c r="E53" s="1" t="s">
        <v>16</v>
      </c>
      <c r="F53" s="1" t="s">
        <v>98</v>
      </c>
      <c r="G53" s="2">
        <v>4</v>
      </c>
      <c r="H53" s="7">
        <v>278.95999999999998</v>
      </c>
      <c r="I53" s="7">
        <v>1115.8399999999999</v>
      </c>
      <c r="J53" s="4">
        <v>45800</v>
      </c>
      <c r="K53" s="4" t="str">
        <f t="shared" si="1"/>
        <v>May</v>
      </c>
      <c r="L53" s="1" t="s">
        <v>18</v>
      </c>
      <c r="M53" s="1" t="s">
        <v>56</v>
      </c>
    </row>
    <row r="54" spans="1:13" x14ac:dyDescent="0.25">
      <c r="A54" s="1" t="s">
        <v>110</v>
      </c>
      <c r="B54" s="1" t="s">
        <v>47</v>
      </c>
      <c r="C54" s="1" t="s">
        <v>22</v>
      </c>
      <c r="D54" s="1" t="s">
        <v>32</v>
      </c>
      <c r="E54" s="1" t="s">
        <v>23</v>
      </c>
      <c r="F54" s="1" t="s">
        <v>24</v>
      </c>
      <c r="G54" s="2">
        <v>4</v>
      </c>
      <c r="H54" s="7">
        <v>312.23</v>
      </c>
      <c r="I54" s="7">
        <v>1248.92</v>
      </c>
      <c r="J54" s="4">
        <v>45910</v>
      </c>
      <c r="K54" s="4" t="str">
        <f t="shared" si="1"/>
        <v>September</v>
      </c>
      <c r="L54" s="1" t="s">
        <v>38</v>
      </c>
      <c r="M54" s="1" t="s">
        <v>29</v>
      </c>
    </row>
    <row r="55" spans="1:13" x14ac:dyDescent="0.25">
      <c r="A55" s="1" t="s">
        <v>111</v>
      </c>
      <c r="B55" s="1" t="s">
        <v>71</v>
      </c>
      <c r="C55" s="1" t="s">
        <v>22</v>
      </c>
      <c r="D55" s="1" t="s">
        <v>37</v>
      </c>
      <c r="E55" s="1" t="s">
        <v>33</v>
      </c>
      <c r="F55" s="1" t="s">
        <v>60</v>
      </c>
      <c r="G55" s="2">
        <v>6</v>
      </c>
      <c r="H55" s="7">
        <v>491.06</v>
      </c>
      <c r="I55" s="7">
        <v>2946.36</v>
      </c>
      <c r="J55" s="4">
        <v>45723</v>
      </c>
      <c r="K55" s="4" t="str">
        <f t="shared" si="1"/>
        <v>March</v>
      </c>
      <c r="L55" s="1" t="s">
        <v>38</v>
      </c>
      <c r="M55" s="1" t="s">
        <v>29</v>
      </c>
    </row>
    <row r="56" spans="1:13" x14ac:dyDescent="0.25">
      <c r="A56" s="1" t="s">
        <v>112</v>
      </c>
      <c r="B56" s="1" t="s">
        <v>82</v>
      </c>
      <c r="C56" s="1" t="s">
        <v>22</v>
      </c>
      <c r="D56" s="1" t="s">
        <v>15</v>
      </c>
      <c r="E56" s="1" t="s">
        <v>33</v>
      </c>
      <c r="F56" s="1" t="s">
        <v>60</v>
      </c>
      <c r="G56" s="2">
        <v>5</v>
      </c>
      <c r="H56" s="7">
        <v>134.44</v>
      </c>
      <c r="I56" s="7">
        <v>672.2</v>
      </c>
      <c r="J56" s="4">
        <v>45721</v>
      </c>
      <c r="K56" s="4" t="str">
        <f t="shared" si="1"/>
        <v>March</v>
      </c>
      <c r="L56" s="1" t="s">
        <v>54</v>
      </c>
      <c r="M56" s="1" t="s">
        <v>56</v>
      </c>
    </row>
    <row r="57" spans="1:13" x14ac:dyDescent="0.25">
      <c r="A57" s="1" t="s">
        <v>113</v>
      </c>
      <c r="B57" s="1" t="s">
        <v>21</v>
      </c>
      <c r="C57" s="1" t="s">
        <v>22</v>
      </c>
      <c r="D57" s="1" t="s">
        <v>28</v>
      </c>
      <c r="E57" s="1" t="s">
        <v>33</v>
      </c>
      <c r="F57" s="1" t="s">
        <v>72</v>
      </c>
      <c r="G57" s="2">
        <v>9</v>
      </c>
      <c r="H57" s="7">
        <v>136.19</v>
      </c>
      <c r="I57" s="7">
        <v>1225.71</v>
      </c>
      <c r="J57" s="4">
        <v>45954</v>
      </c>
      <c r="K57" s="4" t="str">
        <f t="shared" si="1"/>
        <v>October</v>
      </c>
      <c r="L57" s="1" t="s">
        <v>38</v>
      </c>
      <c r="M57" s="1" t="s">
        <v>19</v>
      </c>
    </row>
    <row r="58" spans="1:13" x14ac:dyDescent="0.25">
      <c r="A58" s="1" t="s">
        <v>114</v>
      </c>
      <c r="B58" s="1" t="s">
        <v>64</v>
      </c>
      <c r="C58" s="1" t="s">
        <v>14</v>
      </c>
      <c r="D58" s="1" t="s">
        <v>37</v>
      </c>
      <c r="E58" s="1" t="s">
        <v>16</v>
      </c>
      <c r="F58" s="1" t="s">
        <v>115</v>
      </c>
      <c r="G58" s="2">
        <v>1</v>
      </c>
      <c r="H58" s="7">
        <v>445.52</v>
      </c>
      <c r="I58" s="7">
        <v>445.52</v>
      </c>
      <c r="J58" s="4">
        <v>45708</v>
      </c>
      <c r="K58" s="4" t="str">
        <f t="shared" si="1"/>
        <v>February</v>
      </c>
      <c r="L58" s="1" t="s">
        <v>54</v>
      </c>
      <c r="M58" s="1" t="s">
        <v>56</v>
      </c>
    </row>
    <row r="59" spans="1:13" x14ac:dyDescent="0.25">
      <c r="A59" s="1" t="s">
        <v>116</v>
      </c>
      <c r="B59" s="1" t="s">
        <v>64</v>
      </c>
      <c r="C59" s="1" t="s">
        <v>14</v>
      </c>
      <c r="D59" s="1" t="s">
        <v>15</v>
      </c>
      <c r="E59" s="1" t="s">
        <v>16</v>
      </c>
      <c r="F59" s="1" t="s">
        <v>17</v>
      </c>
      <c r="G59" s="2">
        <v>1</v>
      </c>
      <c r="H59" s="7">
        <v>86.47</v>
      </c>
      <c r="I59" s="7">
        <v>86.47</v>
      </c>
      <c r="J59" s="4">
        <v>45839</v>
      </c>
      <c r="K59" s="4" t="str">
        <f t="shared" si="1"/>
        <v>July</v>
      </c>
      <c r="L59" s="1" t="s">
        <v>18</v>
      </c>
      <c r="M59" s="1" t="s">
        <v>19</v>
      </c>
    </row>
    <row r="60" spans="1:13" x14ac:dyDescent="0.25">
      <c r="A60" s="1" t="s">
        <v>117</v>
      </c>
      <c r="B60" s="1" t="s">
        <v>71</v>
      </c>
      <c r="C60" s="1" t="s">
        <v>14</v>
      </c>
      <c r="D60" s="1" t="s">
        <v>83</v>
      </c>
      <c r="E60" s="1" t="s">
        <v>33</v>
      </c>
      <c r="F60" s="1" t="s">
        <v>60</v>
      </c>
      <c r="G60" s="2">
        <v>5</v>
      </c>
      <c r="H60" s="7">
        <v>45.26</v>
      </c>
      <c r="I60" s="7">
        <v>226.3</v>
      </c>
      <c r="J60" s="4">
        <v>45830</v>
      </c>
      <c r="K60" s="4" t="str">
        <f t="shared" si="1"/>
        <v>June</v>
      </c>
      <c r="L60" s="1" t="s">
        <v>35</v>
      </c>
      <c r="M60" s="1" t="s">
        <v>56</v>
      </c>
    </row>
    <row r="61" spans="1:13" x14ac:dyDescent="0.25">
      <c r="A61" s="1" t="s">
        <v>118</v>
      </c>
      <c r="B61" s="1" t="s">
        <v>31</v>
      </c>
      <c r="C61" s="1" t="s">
        <v>14</v>
      </c>
      <c r="D61" s="1" t="s">
        <v>59</v>
      </c>
      <c r="E61" s="1" t="s">
        <v>33</v>
      </c>
      <c r="F61" s="1" t="s">
        <v>72</v>
      </c>
      <c r="G61" s="2">
        <v>9</v>
      </c>
      <c r="H61" s="7">
        <v>326.58999999999997</v>
      </c>
      <c r="I61" s="7">
        <v>2939.31</v>
      </c>
      <c r="J61" s="4">
        <v>45688</v>
      </c>
      <c r="K61" s="4" t="str">
        <f t="shared" si="1"/>
        <v>January</v>
      </c>
      <c r="L61" s="1" t="s">
        <v>38</v>
      </c>
      <c r="M61" s="1" t="s">
        <v>56</v>
      </c>
    </row>
    <row r="62" spans="1:13" x14ac:dyDescent="0.25">
      <c r="A62" s="1" t="s">
        <v>119</v>
      </c>
      <c r="B62" s="1" t="s">
        <v>27</v>
      </c>
      <c r="C62" s="1" t="s">
        <v>14</v>
      </c>
      <c r="D62" s="1" t="s">
        <v>32</v>
      </c>
      <c r="E62" s="1" t="s">
        <v>16</v>
      </c>
      <c r="F62" s="1" t="s">
        <v>115</v>
      </c>
      <c r="G62" s="2">
        <v>4</v>
      </c>
      <c r="H62" s="7">
        <v>175.53</v>
      </c>
      <c r="I62" s="7">
        <v>702.12</v>
      </c>
      <c r="J62" s="4">
        <v>45805</v>
      </c>
      <c r="K62" s="4" t="str">
        <f t="shared" si="1"/>
        <v>May</v>
      </c>
      <c r="L62" s="1" t="s">
        <v>54</v>
      </c>
      <c r="M62" s="1" t="s">
        <v>42</v>
      </c>
    </row>
    <row r="63" spans="1:13" x14ac:dyDescent="0.25">
      <c r="A63" s="1" t="s">
        <v>120</v>
      </c>
      <c r="B63" s="1" t="s">
        <v>75</v>
      </c>
      <c r="C63" s="1" t="s">
        <v>14</v>
      </c>
      <c r="D63" s="1" t="s">
        <v>28</v>
      </c>
      <c r="E63" s="1" t="s">
        <v>33</v>
      </c>
      <c r="F63" s="1" t="s">
        <v>72</v>
      </c>
      <c r="G63" s="2">
        <v>1</v>
      </c>
      <c r="H63" s="7">
        <v>354.01</v>
      </c>
      <c r="I63" s="7">
        <v>354.01</v>
      </c>
      <c r="J63" s="4">
        <v>45690</v>
      </c>
      <c r="K63" s="4" t="str">
        <f t="shared" si="1"/>
        <v>February</v>
      </c>
      <c r="L63" s="1" t="s">
        <v>35</v>
      </c>
      <c r="M63" s="1" t="s">
        <v>25</v>
      </c>
    </row>
    <row r="64" spans="1:13" x14ac:dyDescent="0.25">
      <c r="A64" s="1" t="s">
        <v>121</v>
      </c>
      <c r="B64" s="1" t="s">
        <v>71</v>
      </c>
      <c r="C64" s="1" t="s">
        <v>14</v>
      </c>
      <c r="D64" s="1" t="s">
        <v>83</v>
      </c>
      <c r="E64" s="1" t="s">
        <v>16</v>
      </c>
      <c r="F64" s="1" t="s">
        <v>17</v>
      </c>
      <c r="G64" s="2">
        <v>7</v>
      </c>
      <c r="H64" s="7">
        <v>240.93</v>
      </c>
      <c r="I64" s="7">
        <v>1686.51</v>
      </c>
      <c r="J64" s="4">
        <v>45877</v>
      </c>
      <c r="K64" s="4" t="str">
        <f t="shared" si="1"/>
        <v>August</v>
      </c>
      <c r="L64" s="1" t="s">
        <v>18</v>
      </c>
      <c r="M64" s="1" t="s">
        <v>29</v>
      </c>
    </row>
    <row r="65" spans="1:13" x14ac:dyDescent="0.25">
      <c r="A65" s="1" t="s">
        <v>122</v>
      </c>
      <c r="B65" s="1" t="s">
        <v>82</v>
      </c>
      <c r="C65" s="1" t="s">
        <v>22</v>
      </c>
      <c r="D65" s="1" t="s">
        <v>68</v>
      </c>
      <c r="E65" s="1" t="s">
        <v>33</v>
      </c>
      <c r="F65" s="1" t="s">
        <v>60</v>
      </c>
      <c r="G65" s="2">
        <v>7</v>
      </c>
      <c r="H65" s="7">
        <v>383.41</v>
      </c>
      <c r="I65" s="7">
        <v>2683.87</v>
      </c>
      <c r="J65" s="4">
        <v>45701</v>
      </c>
      <c r="K65" s="4" t="str">
        <f t="shared" si="1"/>
        <v>February</v>
      </c>
      <c r="L65" s="1" t="s">
        <v>18</v>
      </c>
      <c r="M65" s="1" t="s">
        <v>56</v>
      </c>
    </row>
    <row r="66" spans="1:13" x14ac:dyDescent="0.25">
      <c r="A66" s="1" t="s">
        <v>123</v>
      </c>
      <c r="B66" s="1" t="s">
        <v>40</v>
      </c>
      <c r="C66" s="1" t="s">
        <v>14</v>
      </c>
      <c r="D66" s="1" t="s">
        <v>28</v>
      </c>
      <c r="E66" s="1" t="s">
        <v>33</v>
      </c>
      <c r="F66" s="1" t="s">
        <v>60</v>
      </c>
      <c r="G66" s="2">
        <v>8</v>
      </c>
      <c r="H66" s="7">
        <v>473.5</v>
      </c>
      <c r="I66" s="7">
        <v>3788</v>
      </c>
      <c r="J66" s="4">
        <v>45954</v>
      </c>
      <c r="K66" s="4" t="str">
        <f t="shared" ref="K66:K97" si="2">TEXT(J66,"MMMM")</f>
        <v>October</v>
      </c>
      <c r="L66" s="1" t="s">
        <v>35</v>
      </c>
      <c r="M66" s="1" t="s">
        <v>56</v>
      </c>
    </row>
    <row r="67" spans="1:13" x14ac:dyDescent="0.25">
      <c r="A67" s="1" t="s">
        <v>124</v>
      </c>
      <c r="B67" s="1" t="s">
        <v>21</v>
      </c>
      <c r="C67" s="1" t="s">
        <v>22</v>
      </c>
      <c r="D67" s="1" t="s">
        <v>28</v>
      </c>
      <c r="E67" s="1" t="s">
        <v>44</v>
      </c>
      <c r="F67" s="1" t="s">
        <v>45</v>
      </c>
      <c r="G67" s="2">
        <v>5</v>
      </c>
      <c r="H67" s="7">
        <v>477.31</v>
      </c>
      <c r="I67" s="7">
        <v>2386.5500000000002</v>
      </c>
      <c r="J67" s="4">
        <v>45912</v>
      </c>
      <c r="K67" s="4" t="str">
        <f t="shared" si="2"/>
        <v>September</v>
      </c>
      <c r="L67" s="1" t="s">
        <v>35</v>
      </c>
      <c r="M67" s="1" t="s">
        <v>56</v>
      </c>
    </row>
    <row r="68" spans="1:13" x14ac:dyDescent="0.25">
      <c r="A68" s="1" t="s">
        <v>125</v>
      </c>
      <c r="B68" s="1" t="s">
        <v>75</v>
      </c>
      <c r="C68" s="1" t="s">
        <v>22</v>
      </c>
      <c r="D68" s="1" t="s">
        <v>83</v>
      </c>
      <c r="E68" s="1" t="s">
        <v>33</v>
      </c>
      <c r="F68" s="1" t="s">
        <v>72</v>
      </c>
      <c r="G68" s="2">
        <v>7</v>
      </c>
      <c r="H68" s="7">
        <v>422.13</v>
      </c>
      <c r="I68" s="7">
        <v>2954.91</v>
      </c>
      <c r="J68" s="4">
        <v>45750</v>
      </c>
      <c r="K68" s="4" t="str">
        <f t="shared" si="2"/>
        <v>April</v>
      </c>
      <c r="L68" s="1" t="s">
        <v>38</v>
      </c>
      <c r="M68" s="1" t="s">
        <v>29</v>
      </c>
    </row>
    <row r="69" spans="1:13" x14ac:dyDescent="0.25">
      <c r="A69" s="1" t="s">
        <v>126</v>
      </c>
      <c r="B69" s="1" t="s">
        <v>75</v>
      </c>
      <c r="C69" s="1" t="s">
        <v>14</v>
      </c>
      <c r="D69" s="1" t="s">
        <v>37</v>
      </c>
      <c r="E69" s="1" t="s">
        <v>33</v>
      </c>
      <c r="F69" s="1" t="s">
        <v>34</v>
      </c>
      <c r="G69" s="2">
        <v>8</v>
      </c>
      <c r="H69" s="7">
        <v>72.180000000000007</v>
      </c>
      <c r="I69" s="7">
        <v>577.44000000000005</v>
      </c>
      <c r="J69" s="4">
        <v>45772</v>
      </c>
      <c r="K69" s="4" t="str">
        <f t="shared" si="2"/>
        <v>April</v>
      </c>
      <c r="L69" s="1" t="s">
        <v>54</v>
      </c>
      <c r="M69" s="1" t="s">
        <v>56</v>
      </c>
    </row>
    <row r="70" spans="1:13" x14ac:dyDescent="0.25">
      <c r="A70" s="1" t="s">
        <v>127</v>
      </c>
      <c r="B70" s="1" t="s">
        <v>82</v>
      </c>
      <c r="C70" s="1" t="s">
        <v>22</v>
      </c>
      <c r="D70" s="1" t="s">
        <v>68</v>
      </c>
      <c r="E70" s="1" t="s">
        <v>33</v>
      </c>
      <c r="F70" s="1" t="s">
        <v>60</v>
      </c>
      <c r="G70" s="2">
        <v>4</v>
      </c>
      <c r="H70" s="7">
        <v>214.91</v>
      </c>
      <c r="I70" s="7">
        <v>859.64</v>
      </c>
      <c r="J70" s="4">
        <v>45777</v>
      </c>
      <c r="K70" s="4" t="str">
        <f t="shared" si="2"/>
        <v>April</v>
      </c>
      <c r="L70" s="1" t="s">
        <v>54</v>
      </c>
      <c r="M70" s="1" t="s">
        <v>56</v>
      </c>
    </row>
    <row r="71" spans="1:13" x14ac:dyDescent="0.25">
      <c r="A71" s="1" t="s">
        <v>128</v>
      </c>
      <c r="B71" s="1" t="s">
        <v>27</v>
      </c>
      <c r="C71" s="1" t="s">
        <v>22</v>
      </c>
      <c r="D71" s="1" t="s">
        <v>68</v>
      </c>
      <c r="E71" s="1" t="s">
        <v>16</v>
      </c>
      <c r="F71" s="1" t="s">
        <v>115</v>
      </c>
      <c r="G71" s="2">
        <v>5</v>
      </c>
      <c r="H71" s="7">
        <v>245.58</v>
      </c>
      <c r="I71" s="7">
        <v>1227.9000000000001</v>
      </c>
      <c r="J71" s="4">
        <v>45930</v>
      </c>
      <c r="K71" s="4" t="str">
        <f t="shared" si="2"/>
        <v>September</v>
      </c>
      <c r="L71" s="1" t="s">
        <v>54</v>
      </c>
      <c r="M71" s="1" t="s">
        <v>25</v>
      </c>
    </row>
    <row r="72" spans="1:13" x14ac:dyDescent="0.25">
      <c r="A72" s="1" t="s">
        <v>129</v>
      </c>
      <c r="B72" s="1" t="s">
        <v>47</v>
      </c>
      <c r="C72" s="1" t="s">
        <v>22</v>
      </c>
      <c r="D72" s="1" t="s">
        <v>32</v>
      </c>
      <c r="E72" s="1" t="s">
        <v>16</v>
      </c>
      <c r="F72" s="1" t="s">
        <v>17</v>
      </c>
      <c r="G72" s="2">
        <v>1</v>
      </c>
      <c r="H72" s="7">
        <v>377.15</v>
      </c>
      <c r="I72" s="7">
        <v>377.15</v>
      </c>
      <c r="J72" s="4">
        <v>46011</v>
      </c>
      <c r="K72" s="4" t="str">
        <f t="shared" si="2"/>
        <v>December</v>
      </c>
      <c r="L72" s="1" t="s">
        <v>38</v>
      </c>
      <c r="M72" s="1" t="s">
        <v>29</v>
      </c>
    </row>
    <row r="73" spans="1:13" x14ac:dyDescent="0.25">
      <c r="A73" s="1" t="s">
        <v>130</v>
      </c>
      <c r="B73" s="1" t="s">
        <v>31</v>
      </c>
      <c r="C73" s="1" t="s">
        <v>14</v>
      </c>
      <c r="D73" s="1" t="s">
        <v>28</v>
      </c>
      <c r="E73" s="1" t="s">
        <v>33</v>
      </c>
      <c r="F73" s="1" t="s">
        <v>72</v>
      </c>
      <c r="G73" s="2">
        <v>2</v>
      </c>
      <c r="H73" s="7">
        <v>301.54000000000002</v>
      </c>
      <c r="I73" s="7">
        <v>603.08000000000004</v>
      </c>
      <c r="J73" s="4">
        <v>46007</v>
      </c>
      <c r="K73" s="4" t="str">
        <f t="shared" si="2"/>
        <v>December</v>
      </c>
      <c r="L73" s="1" t="s">
        <v>35</v>
      </c>
      <c r="M73" s="1" t="s">
        <v>42</v>
      </c>
    </row>
    <row r="74" spans="1:13" x14ac:dyDescent="0.25">
      <c r="A74" s="1" t="s">
        <v>131</v>
      </c>
      <c r="B74" s="1" t="s">
        <v>71</v>
      </c>
      <c r="C74" s="1" t="s">
        <v>14</v>
      </c>
      <c r="D74" s="1" t="s">
        <v>28</v>
      </c>
      <c r="E74" s="1" t="s">
        <v>44</v>
      </c>
      <c r="F74" s="1" t="s">
        <v>45</v>
      </c>
      <c r="G74" s="2">
        <v>5</v>
      </c>
      <c r="H74" s="7">
        <v>445.09</v>
      </c>
      <c r="I74" s="7">
        <v>2225.4499999999998</v>
      </c>
      <c r="J74" s="4">
        <v>45885</v>
      </c>
      <c r="K74" s="4" t="str">
        <f t="shared" si="2"/>
        <v>August</v>
      </c>
      <c r="L74" s="1" t="s">
        <v>54</v>
      </c>
      <c r="M74" s="1" t="s">
        <v>56</v>
      </c>
    </row>
    <row r="75" spans="1:13" x14ac:dyDescent="0.25">
      <c r="A75" s="1" t="s">
        <v>132</v>
      </c>
      <c r="B75" s="1" t="s">
        <v>27</v>
      </c>
      <c r="C75" s="1" t="s">
        <v>22</v>
      </c>
      <c r="D75" s="1" t="s">
        <v>37</v>
      </c>
      <c r="E75" s="1" t="s">
        <v>33</v>
      </c>
      <c r="F75" s="1" t="s">
        <v>60</v>
      </c>
      <c r="G75" s="2">
        <v>4</v>
      </c>
      <c r="H75" s="7">
        <v>343.83</v>
      </c>
      <c r="I75" s="7">
        <v>1375.32</v>
      </c>
      <c r="J75" s="4">
        <v>45670</v>
      </c>
      <c r="K75" s="4" t="str">
        <f t="shared" si="2"/>
        <v>January</v>
      </c>
      <c r="L75" s="1" t="s">
        <v>38</v>
      </c>
      <c r="M75" s="1" t="s">
        <v>19</v>
      </c>
    </row>
    <row r="76" spans="1:13" x14ac:dyDescent="0.25">
      <c r="A76" s="1" t="s">
        <v>133</v>
      </c>
      <c r="B76" s="1" t="s">
        <v>27</v>
      </c>
      <c r="C76" s="1" t="s">
        <v>14</v>
      </c>
      <c r="D76" s="1" t="s">
        <v>28</v>
      </c>
      <c r="E76" s="1" t="s">
        <v>23</v>
      </c>
      <c r="F76" s="1" t="s">
        <v>53</v>
      </c>
      <c r="G76" s="2">
        <v>1</v>
      </c>
      <c r="H76" s="7">
        <v>400.93</v>
      </c>
      <c r="I76" s="7">
        <v>400.93</v>
      </c>
      <c r="J76" s="4">
        <v>45717</v>
      </c>
      <c r="K76" s="4" t="str">
        <f t="shared" si="2"/>
        <v>March</v>
      </c>
      <c r="L76" s="1" t="s">
        <v>35</v>
      </c>
      <c r="M76" s="1" t="s">
        <v>42</v>
      </c>
    </row>
    <row r="77" spans="1:13" x14ac:dyDescent="0.25">
      <c r="A77" s="1" t="s">
        <v>134</v>
      </c>
      <c r="B77" s="1" t="s">
        <v>82</v>
      </c>
      <c r="C77" s="1" t="s">
        <v>14</v>
      </c>
      <c r="D77" s="1" t="s">
        <v>32</v>
      </c>
      <c r="E77" s="1" t="s">
        <v>16</v>
      </c>
      <c r="F77" s="1" t="s">
        <v>17</v>
      </c>
      <c r="G77" s="2">
        <v>6</v>
      </c>
      <c r="H77" s="7">
        <v>74.52</v>
      </c>
      <c r="I77" s="7">
        <v>447.12</v>
      </c>
      <c r="J77" s="4">
        <v>45870</v>
      </c>
      <c r="K77" s="4" t="str">
        <f t="shared" si="2"/>
        <v>August</v>
      </c>
      <c r="L77" s="1" t="s">
        <v>18</v>
      </c>
      <c r="M77" s="1" t="s">
        <v>19</v>
      </c>
    </row>
    <row r="78" spans="1:13" x14ac:dyDescent="0.25">
      <c r="A78" s="1" t="s">
        <v>135</v>
      </c>
      <c r="B78" s="1" t="s">
        <v>47</v>
      </c>
      <c r="C78" s="1" t="s">
        <v>22</v>
      </c>
      <c r="D78" s="1" t="s">
        <v>28</v>
      </c>
      <c r="E78" s="1" t="s">
        <v>23</v>
      </c>
      <c r="F78" s="1" t="s">
        <v>53</v>
      </c>
      <c r="G78" s="2">
        <v>10</v>
      </c>
      <c r="H78" s="7">
        <v>312.83</v>
      </c>
      <c r="I78" s="7">
        <v>3128.3</v>
      </c>
      <c r="J78" s="4">
        <v>45764</v>
      </c>
      <c r="K78" s="4" t="str">
        <f t="shared" si="2"/>
        <v>April</v>
      </c>
      <c r="L78" s="1" t="s">
        <v>38</v>
      </c>
      <c r="M78" s="1" t="s">
        <v>42</v>
      </c>
    </row>
    <row r="79" spans="1:13" x14ac:dyDescent="0.25">
      <c r="A79" s="1" t="s">
        <v>136</v>
      </c>
      <c r="B79" s="1" t="s">
        <v>31</v>
      </c>
      <c r="C79" s="1" t="s">
        <v>22</v>
      </c>
      <c r="D79" s="1" t="s">
        <v>15</v>
      </c>
      <c r="E79" s="1" t="s">
        <v>23</v>
      </c>
      <c r="F79" s="1" t="s">
        <v>53</v>
      </c>
      <c r="G79" s="2">
        <v>5</v>
      </c>
      <c r="H79" s="7">
        <v>327.24</v>
      </c>
      <c r="I79" s="7">
        <v>1636.2</v>
      </c>
      <c r="J79" s="4">
        <v>45896</v>
      </c>
      <c r="K79" s="4" t="str">
        <f t="shared" si="2"/>
        <v>August</v>
      </c>
      <c r="L79" s="1" t="s">
        <v>38</v>
      </c>
      <c r="M79" s="1" t="s">
        <v>29</v>
      </c>
    </row>
    <row r="80" spans="1:13" x14ac:dyDescent="0.25">
      <c r="A80" s="1" t="s">
        <v>137</v>
      </c>
      <c r="B80" s="1" t="s">
        <v>13</v>
      </c>
      <c r="C80" s="1" t="s">
        <v>14</v>
      </c>
      <c r="D80" s="1" t="s">
        <v>68</v>
      </c>
      <c r="E80" s="1" t="s">
        <v>23</v>
      </c>
      <c r="F80" s="1" t="s">
        <v>24</v>
      </c>
      <c r="G80" s="2">
        <v>8</v>
      </c>
      <c r="H80" s="7">
        <v>68.790000000000006</v>
      </c>
      <c r="I80" s="7">
        <v>550.32000000000005</v>
      </c>
      <c r="J80" s="4">
        <v>45972</v>
      </c>
      <c r="K80" s="4" t="str">
        <f t="shared" si="2"/>
        <v>November</v>
      </c>
      <c r="L80" s="1" t="s">
        <v>38</v>
      </c>
      <c r="M80" s="1" t="s">
        <v>19</v>
      </c>
    </row>
    <row r="81" spans="1:13" x14ac:dyDescent="0.25">
      <c r="A81" s="1" t="s">
        <v>138</v>
      </c>
      <c r="B81" s="1" t="s">
        <v>13</v>
      </c>
      <c r="C81" s="1" t="s">
        <v>14</v>
      </c>
      <c r="D81" s="1" t="s">
        <v>68</v>
      </c>
      <c r="E81" s="1" t="s">
        <v>44</v>
      </c>
      <c r="F81" s="1" t="s">
        <v>91</v>
      </c>
      <c r="G81" s="2">
        <v>4</v>
      </c>
      <c r="H81" s="7">
        <v>10.82</v>
      </c>
      <c r="I81" s="7">
        <v>43.28</v>
      </c>
      <c r="J81" s="4">
        <v>45779</v>
      </c>
      <c r="K81" s="4" t="str">
        <f t="shared" si="2"/>
        <v>May</v>
      </c>
      <c r="L81" s="1" t="s">
        <v>18</v>
      </c>
      <c r="M81" s="1" t="s">
        <v>56</v>
      </c>
    </row>
    <row r="82" spans="1:13" x14ac:dyDescent="0.25">
      <c r="A82" s="1" t="s">
        <v>139</v>
      </c>
      <c r="B82" s="1" t="s">
        <v>13</v>
      </c>
      <c r="C82" s="1" t="s">
        <v>22</v>
      </c>
      <c r="D82" s="1" t="s">
        <v>28</v>
      </c>
      <c r="E82" s="1" t="s">
        <v>44</v>
      </c>
      <c r="F82" s="1" t="s">
        <v>45</v>
      </c>
      <c r="G82" s="2">
        <v>1</v>
      </c>
      <c r="H82" s="7">
        <v>374.82</v>
      </c>
      <c r="I82" s="7">
        <v>374.82</v>
      </c>
      <c r="J82" s="4">
        <v>45931</v>
      </c>
      <c r="K82" s="4" t="str">
        <f t="shared" si="2"/>
        <v>October</v>
      </c>
      <c r="L82" s="1" t="s">
        <v>18</v>
      </c>
      <c r="M82" s="1" t="s">
        <v>42</v>
      </c>
    </row>
    <row r="83" spans="1:13" x14ac:dyDescent="0.25">
      <c r="A83" s="1" t="s">
        <v>140</v>
      </c>
      <c r="B83" s="1" t="s">
        <v>13</v>
      </c>
      <c r="C83" s="1" t="s">
        <v>14</v>
      </c>
      <c r="D83" s="1" t="s">
        <v>32</v>
      </c>
      <c r="E83" s="1" t="s">
        <v>33</v>
      </c>
      <c r="F83" s="1" t="s">
        <v>60</v>
      </c>
      <c r="G83" s="2">
        <v>1</v>
      </c>
      <c r="H83" s="7">
        <v>488.48</v>
      </c>
      <c r="I83" s="7">
        <v>488.48</v>
      </c>
      <c r="J83" s="4">
        <v>45692</v>
      </c>
      <c r="K83" s="4" t="str">
        <f t="shared" si="2"/>
        <v>February</v>
      </c>
      <c r="L83" s="1" t="s">
        <v>35</v>
      </c>
      <c r="M83" s="1" t="s">
        <v>42</v>
      </c>
    </row>
    <row r="84" spans="1:13" x14ac:dyDescent="0.25">
      <c r="A84" s="1" t="s">
        <v>141</v>
      </c>
      <c r="B84" s="1" t="s">
        <v>75</v>
      </c>
      <c r="C84" s="1" t="s">
        <v>14</v>
      </c>
      <c r="D84" s="1" t="s">
        <v>15</v>
      </c>
      <c r="E84" s="1" t="s">
        <v>16</v>
      </c>
      <c r="F84" s="1" t="s">
        <v>98</v>
      </c>
      <c r="G84" s="2">
        <v>7</v>
      </c>
      <c r="H84" s="7">
        <v>78.91</v>
      </c>
      <c r="I84" s="7">
        <v>552.37</v>
      </c>
      <c r="J84" s="4">
        <v>45920</v>
      </c>
      <c r="K84" s="4" t="str">
        <f t="shared" si="2"/>
        <v>September</v>
      </c>
      <c r="L84" s="1" t="s">
        <v>18</v>
      </c>
      <c r="M84" s="1" t="s">
        <v>56</v>
      </c>
    </row>
    <row r="85" spans="1:13" x14ac:dyDescent="0.25">
      <c r="A85" s="1" t="s">
        <v>142</v>
      </c>
      <c r="B85" s="1" t="s">
        <v>27</v>
      </c>
      <c r="C85" s="1" t="s">
        <v>14</v>
      </c>
      <c r="D85" s="1" t="s">
        <v>37</v>
      </c>
      <c r="E85" s="1" t="s">
        <v>44</v>
      </c>
      <c r="F85" s="1" t="s">
        <v>62</v>
      </c>
      <c r="G85" s="2">
        <v>9</v>
      </c>
      <c r="H85" s="7">
        <v>15.82</v>
      </c>
      <c r="I85" s="7">
        <v>142.38</v>
      </c>
      <c r="J85" s="4">
        <v>45908</v>
      </c>
      <c r="K85" s="4" t="str">
        <f t="shared" si="2"/>
        <v>September</v>
      </c>
      <c r="L85" s="1" t="s">
        <v>18</v>
      </c>
      <c r="M85" s="1" t="s">
        <v>56</v>
      </c>
    </row>
    <row r="86" spans="1:13" x14ac:dyDescent="0.25">
      <c r="A86" s="1" t="s">
        <v>143</v>
      </c>
      <c r="B86" s="1" t="s">
        <v>27</v>
      </c>
      <c r="C86" s="1" t="s">
        <v>14</v>
      </c>
      <c r="D86" s="1" t="s">
        <v>28</v>
      </c>
      <c r="E86" s="1" t="s">
        <v>16</v>
      </c>
      <c r="F86" s="1" t="s">
        <v>98</v>
      </c>
      <c r="G86" s="2">
        <v>1</v>
      </c>
      <c r="H86" s="7">
        <v>123.37</v>
      </c>
      <c r="I86" s="7">
        <v>123.37</v>
      </c>
      <c r="J86" s="4">
        <v>45875</v>
      </c>
      <c r="K86" s="4" t="str">
        <f t="shared" si="2"/>
        <v>August</v>
      </c>
      <c r="L86" s="1" t="s">
        <v>38</v>
      </c>
      <c r="M86" s="1" t="s">
        <v>25</v>
      </c>
    </row>
    <row r="87" spans="1:13" x14ac:dyDescent="0.25">
      <c r="A87" s="1" t="s">
        <v>144</v>
      </c>
      <c r="B87" s="1" t="s">
        <v>13</v>
      </c>
      <c r="C87" s="1" t="s">
        <v>22</v>
      </c>
      <c r="D87" s="1" t="s">
        <v>59</v>
      </c>
      <c r="E87" s="1" t="s">
        <v>44</v>
      </c>
      <c r="F87" s="1" t="s">
        <v>62</v>
      </c>
      <c r="G87" s="2">
        <v>2</v>
      </c>
      <c r="H87" s="7">
        <v>175.69</v>
      </c>
      <c r="I87" s="7">
        <v>351.38</v>
      </c>
      <c r="J87" s="4">
        <v>45974</v>
      </c>
      <c r="K87" s="4" t="str">
        <f t="shared" si="2"/>
        <v>November</v>
      </c>
      <c r="L87" s="1" t="s">
        <v>54</v>
      </c>
      <c r="M87" s="1" t="s">
        <v>29</v>
      </c>
    </row>
    <row r="88" spans="1:13" x14ac:dyDescent="0.25">
      <c r="A88" s="1" t="s">
        <v>145</v>
      </c>
      <c r="B88" s="1" t="s">
        <v>71</v>
      </c>
      <c r="C88" s="1" t="s">
        <v>22</v>
      </c>
      <c r="D88" s="1" t="s">
        <v>28</v>
      </c>
      <c r="E88" s="1" t="s">
        <v>33</v>
      </c>
      <c r="F88" s="1" t="s">
        <v>60</v>
      </c>
      <c r="G88" s="2">
        <v>8</v>
      </c>
      <c r="H88" s="7">
        <v>37.950000000000003</v>
      </c>
      <c r="I88" s="7">
        <v>303.60000000000002</v>
      </c>
      <c r="J88" s="4">
        <v>45770</v>
      </c>
      <c r="K88" s="4" t="str">
        <f t="shared" si="2"/>
        <v>April</v>
      </c>
      <c r="L88" s="1" t="s">
        <v>35</v>
      </c>
      <c r="M88" s="1" t="s">
        <v>42</v>
      </c>
    </row>
    <row r="89" spans="1:13" x14ac:dyDescent="0.25">
      <c r="A89" s="1" t="s">
        <v>146</v>
      </c>
      <c r="B89" s="1" t="s">
        <v>31</v>
      </c>
      <c r="C89" s="1" t="s">
        <v>14</v>
      </c>
      <c r="D89" s="1" t="s">
        <v>28</v>
      </c>
      <c r="E89" s="1" t="s">
        <v>23</v>
      </c>
      <c r="F89" s="1" t="s">
        <v>53</v>
      </c>
      <c r="G89" s="2">
        <v>1</v>
      </c>
      <c r="H89" s="7">
        <v>447.14</v>
      </c>
      <c r="I89" s="7">
        <v>447.14</v>
      </c>
      <c r="J89" s="4">
        <v>45883</v>
      </c>
      <c r="K89" s="4" t="str">
        <f t="shared" si="2"/>
        <v>August</v>
      </c>
      <c r="L89" s="1" t="s">
        <v>54</v>
      </c>
      <c r="M89" s="1" t="s">
        <v>25</v>
      </c>
    </row>
    <row r="90" spans="1:13" x14ac:dyDescent="0.25">
      <c r="A90" s="1" t="s">
        <v>147</v>
      </c>
      <c r="B90" s="1" t="s">
        <v>27</v>
      </c>
      <c r="C90" s="1" t="s">
        <v>22</v>
      </c>
      <c r="D90" s="1" t="s">
        <v>37</v>
      </c>
      <c r="E90" s="1" t="s">
        <v>33</v>
      </c>
      <c r="F90" s="1" t="s">
        <v>72</v>
      </c>
      <c r="G90" s="2">
        <v>2</v>
      </c>
      <c r="H90" s="7">
        <v>58.49</v>
      </c>
      <c r="I90" s="7">
        <v>116.98</v>
      </c>
      <c r="J90" s="4">
        <v>45739</v>
      </c>
      <c r="K90" s="4" t="str">
        <f t="shared" si="2"/>
        <v>March</v>
      </c>
      <c r="L90" s="1" t="s">
        <v>54</v>
      </c>
      <c r="M90" s="1" t="s">
        <v>42</v>
      </c>
    </row>
    <row r="91" spans="1:13" x14ac:dyDescent="0.25">
      <c r="A91" s="1" t="s">
        <v>148</v>
      </c>
      <c r="B91" s="1" t="s">
        <v>47</v>
      </c>
      <c r="C91" s="1" t="s">
        <v>22</v>
      </c>
      <c r="D91" s="1" t="s">
        <v>59</v>
      </c>
      <c r="E91" s="1" t="s">
        <v>33</v>
      </c>
      <c r="F91" s="1" t="s">
        <v>34</v>
      </c>
      <c r="G91" s="2">
        <v>10</v>
      </c>
      <c r="H91" s="7">
        <v>462.19</v>
      </c>
      <c r="I91" s="7">
        <v>4621.8999999999996</v>
      </c>
      <c r="J91" s="4">
        <v>45774</v>
      </c>
      <c r="K91" s="4" t="str">
        <f t="shared" si="2"/>
        <v>April</v>
      </c>
      <c r="L91" s="1" t="s">
        <v>38</v>
      </c>
      <c r="M91" s="1" t="s">
        <v>29</v>
      </c>
    </row>
    <row r="92" spans="1:13" x14ac:dyDescent="0.25">
      <c r="A92" s="1" t="s">
        <v>149</v>
      </c>
      <c r="B92" s="1" t="s">
        <v>71</v>
      </c>
      <c r="C92" s="1" t="s">
        <v>22</v>
      </c>
      <c r="D92" s="1" t="s">
        <v>15</v>
      </c>
      <c r="E92" s="1" t="s">
        <v>44</v>
      </c>
      <c r="F92" s="1" t="s">
        <v>62</v>
      </c>
      <c r="G92" s="2">
        <v>5</v>
      </c>
      <c r="H92" s="7">
        <v>215.42</v>
      </c>
      <c r="I92" s="7">
        <v>1077.0999999999999</v>
      </c>
      <c r="J92" s="4">
        <v>45941</v>
      </c>
      <c r="K92" s="4" t="str">
        <f t="shared" si="2"/>
        <v>October</v>
      </c>
      <c r="L92" s="1" t="s">
        <v>38</v>
      </c>
      <c r="M92" s="1" t="s">
        <v>29</v>
      </c>
    </row>
    <row r="93" spans="1:13" x14ac:dyDescent="0.25">
      <c r="A93" s="1" t="s">
        <v>150</v>
      </c>
      <c r="B93" s="1" t="s">
        <v>21</v>
      </c>
      <c r="C93" s="1" t="s">
        <v>22</v>
      </c>
      <c r="D93" s="1" t="s">
        <v>68</v>
      </c>
      <c r="E93" s="1" t="s">
        <v>16</v>
      </c>
      <c r="F93" s="1" t="s">
        <v>98</v>
      </c>
      <c r="G93" s="2">
        <v>3</v>
      </c>
      <c r="H93" s="7">
        <v>368.01</v>
      </c>
      <c r="I93" s="7">
        <v>1104.03</v>
      </c>
      <c r="J93" s="4">
        <v>45911</v>
      </c>
      <c r="K93" s="4" t="str">
        <f t="shared" si="2"/>
        <v>September</v>
      </c>
      <c r="L93" s="1" t="s">
        <v>54</v>
      </c>
      <c r="M93" s="1" t="s">
        <v>29</v>
      </c>
    </row>
    <row r="94" spans="1:13" x14ac:dyDescent="0.25">
      <c r="A94" s="1" t="s">
        <v>151</v>
      </c>
      <c r="B94" s="1" t="s">
        <v>71</v>
      </c>
      <c r="C94" s="1" t="s">
        <v>14</v>
      </c>
      <c r="D94" s="1" t="s">
        <v>68</v>
      </c>
      <c r="E94" s="1" t="s">
        <v>33</v>
      </c>
      <c r="F94" s="1" t="s">
        <v>60</v>
      </c>
      <c r="G94" s="2">
        <v>8</v>
      </c>
      <c r="H94" s="7">
        <v>321.89999999999998</v>
      </c>
      <c r="I94" s="7">
        <v>2575.1999999999998</v>
      </c>
      <c r="J94" s="4">
        <v>45732</v>
      </c>
      <c r="K94" s="4" t="str">
        <f t="shared" si="2"/>
        <v>March</v>
      </c>
      <c r="L94" s="1" t="s">
        <v>38</v>
      </c>
      <c r="M94" s="1" t="s">
        <v>25</v>
      </c>
    </row>
    <row r="95" spans="1:13" x14ac:dyDescent="0.25">
      <c r="A95" s="1" t="s">
        <v>152</v>
      </c>
      <c r="B95" s="1" t="s">
        <v>40</v>
      </c>
      <c r="C95" s="1" t="s">
        <v>22</v>
      </c>
      <c r="D95" s="1" t="s">
        <v>83</v>
      </c>
      <c r="E95" s="1" t="s">
        <v>44</v>
      </c>
      <c r="F95" s="1" t="s">
        <v>62</v>
      </c>
      <c r="G95" s="2">
        <v>2</v>
      </c>
      <c r="H95" s="7">
        <v>334.61</v>
      </c>
      <c r="I95" s="7">
        <v>669.22</v>
      </c>
      <c r="J95" s="4">
        <v>45976</v>
      </c>
      <c r="K95" s="4" t="str">
        <f t="shared" si="2"/>
        <v>November</v>
      </c>
      <c r="L95" s="1" t="s">
        <v>35</v>
      </c>
      <c r="M95" s="1" t="s">
        <v>19</v>
      </c>
    </row>
    <row r="96" spans="1:13" x14ac:dyDescent="0.25">
      <c r="A96" s="1" t="s">
        <v>153</v>
      </c>
      <c r="B96" s="1" t="s">
        <v>64</v>
      </c>
      <c r="C96" s="1" t="s">
        <v>14</v>
      </c>
      <c r="D96" s="1" t="s">
        <v>83</v>
      </c>
      <c r="E96" s="1" t="s">
        <v>44</v>
      </c>
      <c r="F96" s="1" t="s">
        <v>91</v>
      </c>
      <c r="G96" s="2">
        <v>5</v>
      </c>
      <c r="H96" s="7">
        <v>436.6</v>
      </c>
      <c r="I96" s="7">
        <v>2183</v>
      </c>
      <c r="J96" s="4">
        <v>46000</v>
      </c>
      <c r="K96" s="4" t="str">
        <f t="shared" si="2"/>
        <v>December</v>
      </c>
      <c r="L96" s="1" t="s">
        <v>54</v>
      </c>
      <c r="M96" s="1" t="s">
        <v>29</v>
      </c>
    </row>
    <row r="97" spans="1:13" x14ac:dyDescent="0.25">
      <c r="A97" s="1" t="s">
        <v>154</v>
      </c>
      <c r="B97" s="1" t="s">
        <v>47</v>
      </c>
      <c r="C97" s="1" t="s">
        <v>22</v>
      </c>
      <c r="D97" s="1" t="s">
        <v>68</v>
      </c>
      <c r="E97" s="1" t="s">
        <v>23</v>
      </c>
      <c r="F97" s="1" t="s">
        <v>24</v>
      </c>
      <c r="G97" s="2">
        <v>7</v>
      </c>
      <c r="H97" s="7">
        <v>253.75</v>
      </c>
      <c r="I97" s="7">
        <v>1776.25</v>
      </c>
      <c r="J97" s="4">
        <v>45901</v>
      </c>
      <c r="K97" s="4" t="str">
        <f t="shared" si="2"/>
        <v>September</v>
      </c>
      <c r="L97" s="1" t="s">
        <v>18</v>
      </c>
      <c r="M97" s="1" t="s">
        <v>29</v>
      </c>
    </row>
    <row r="98" spans="1:13" x14ac:dyDescent="0.25">
      <c r="A98" s="1" t="s">
        <v>155</v>
      </c>
      <c r="B98" s="1" t="s">
        <v>82</v>
      </c>
      <c r="C98" s="1" t="s">
        <v>22</v>
      </c>
      <c r="D98" s="1" t="s">
        <v>28</v>
      </c>
      <c r="E98" s="1" t="s">
        <v>16</v>
      </c>
      <c r="F98" s="1" t="s">
        <v>98</v>
      </c>
      <c r="G98" s="2">
        <v>4</v>
      </c>
      <c r="H98" s="7">
        <v>44.59</v>
      </c>
      <c r="I98" s="7">
        <v>178.36</v>
      </c>
      <c r="J98" s="4">
        <v>45763</v>
      </c>
      <c r="K98" s="4" t="str">
        <f t="shared" ref="K98:K129" si="3">TEXT(J98,"MMMM")</f>
        <v>April</v>
      </c>
      <c r="L98" s="1" t="s">
        <v>35</v>
      </c>
      <c r="M98" s="1" t="s">
        <v>42</v>
      </c>
    </row>
    <row r="99" spans="1:13" x14ac:dyDescent="0.25">
      <c r="A99" s="1" t="s">
        <v>156</v>
      </c>
      <c r="B99" s="1" t="s">
        <v>47</v>
      </c>
      <c r="C99" s="1" t="s">
        <v>14</v>
      </c>
      <c r="D99" s="1" t="s">
        <v>37</v>
      </c>
      <c r="E99" s="1" t="s">
        <v>23</v>
      </c>
      <c r="F99" s="1" t="s">
        <v>24</v>
      </c>
      <c r="G99" s="2">
        <v>1</v>
      </c>
      <c r="H99" s="7">
        <v>325.31</v>
      </c>
      <c r="I99" s="7">
        <v>325.31</v>
      </c>
      <c r="J99" s="4">
        <v>46015</v>
      </c>
      <c r="K99" s="4" t="str">
        <f t="shared" si="3"/>
        <v>December</v>
      </c>
      <c r="L99" s="1" t="s">
        <v>18</v>
      </c>
      <c r="M99" s="1" t="s">
        <v>19</v>
      </c>
    </row>
    <row r="100" spans="1:13" x14ac:dyDescent="0.25">
      <c r="A100" s="1" t="s">
        <v>157</v>
      </c>
      <c r="B100" s="1" t="s">
        <v>31</v>
      </c>
      <c r="C100" s="1" t="s">
        <v>14</v>
      </c>
      <c r="D100" s="1" t="s">
        <v>83</v>
      </c>
      <c r="E100" s="1" t="s">
        <v>44</v>
      </c>
      <c r="F100" s="1" t="s">
        <v>45</v>
      </c>
      <c r="G100" s="2">
        <v>7</v>
      </c>
      <c r="H100" s="7">
        <v>357.18</v>
      </c>
      <c r="I100" s="7">
        <v>2500.2600000000002</v>
      </c>
      <c r="J100" s="4">
        <v>45920</v>
      </c>
      <c r="K100" s="4" t="str">
        <f t="shared" si="3"/>
        <v>September</v>
      </c>
      <c r="L100" s="1" t="s">
        <v>54</v>
      </c>
      <c r="M100" s="1" t="s">
        <v>19</v>
      </c>
    </row>
    <row r="101" spans="1:13" x14ac:dyDescent="0.25">
      <c r="A101" s="1" t="s">
        <v>158</v>
      </c>
      <c r="B101" s="1" t="s">
        <v>40</v>
      </c>
      <c r="C101" s="1" t="s">
        <v>22</v>
      </c>
      <c r="D101" s="1" t="s">
        <v>59</v>
      </c>
      <c r="E101" s="1" t="s">
        <v>33</v>
      </c>
      <c r="F101" s="1" t="s">
        <v>60</v>
      </c>
      <c r="G101" s="2">
        <v>7</v>
      </c>
      <c r="H101" s="7">
        <v>192.78</v>
      </c>
      <c r="I101" s="7">
        <v>1349.46</v>
      </c>
      <c r="J101" s="4">
        <v>45761</v>
      </c>
      <c r="K101" s="4" t="str">
        <f t="shared" si="3"/>
        <v>April</v>
      </c>
      <c r="L101" s="1" t="s">
        <v>18</v>
      </c>
      <c r="M101" s="1" t="s">
        <v>19</v>
      </c>
    </row>
    <row r="102" spans="1:13" x14ac:dyDescent="0.25">
      <c r="A102" s="1" t="s">
        <v>159</v>
      </c>
      <c r="B102" s="1" t="s">
        <v>40</v>
      </c>
      <c r="C102" s="1" t="s">
        <v>14</v>
      </c>
      <c r="D102" s="1" t="s">
        <v>68</v>
      </c>
      <c r="E102" s="1" t="s">
        <v>44</v>
      </c>
      <c r="F102" s="1" t="s">
        <v>45</v>
      </c>
      <c r="G102" s="2">
        <v>2</v>
      </c>
      <c r="H102" s="7">
        <v>316.39</v>
      </c>
      <c r="I102" s="7">
        <v>632.78</v>
      </c>
      <c r="J102" s="4">
        <v>45788</v>
      </c>
      <c r="K102" s="4" t="str">
        <f t="shared" si="3"/>
        <v>May</v>
      </c>
      <c r="L102" s="1" t="s">
        <v>18</v>
      </c>
      <c r="M102" s="1" t="s">
        <v>42</v>
      </c>
    </row>
    <row r="103" spans="1:13" x14ac:dyDescent="0.25">
      <c r="A103" s="1" t="s">
        <v>160</v>
      </c>
      <c r="B103" s="1" t="s">
        <v>82</v>
      </c>
      <c r="C103" s="1" t="s">
        <v>22</v>
      </c>
      <c r="D103" s="1" t="s">
        <v>28</v>
      </c>
      <c r="E103" s="1" t="s">
        <v>33</v>
      </c>
      <c r="F103" s="1" t="s">
        <v>34</v>
      </c>
      <c r="G103" s="2">
        <v>2</v>
      </c>
      <c r="H103" s="7">
        <v>93.5</v>
      </c>
      <c r="I103" s="7">
        <v>187</v>
      </c>
      <c r="J103" s="4">
        <v>45859</v>
      </c>
      <c r="K103" s="4" t="str">
        <f t="shared" si="3"/>
        <v>July</v>
      </c>
      <c r="L103" s="1" t="s">
        <v>54</v>
      </c>
      <c r="M103" s="1" t="s">
        <v>56</v>
      </c>
    </row>
    <row r="104" spans="1:13" x14ac:dyDescent="0.25">
      <c r="A104" s="1" t="s">
        <v>161</v>
      </c>
      <c r="B104" s="1" t="s">
        <v>27</v>
      </c>
      <c r="C104" s="1" t="s">
        <v>22</v>
      </c>
      <c r="D104" s="1" t="s">
        <v>83</v>
      </c>
      <c r="E104" s="1" t="s">
        <v>23</v>
      </c>
      <c r="F104" s="1" t="s">
        <v>24</v>
      </c>
      <c r="G104" s="2">
        <v>5</v>
      </c>
      <c r="H104" s="7">
        <v>245.53</v>
      </c>
      <c r="I104" s="7">
        <v>1227.6500000000001</v>
      </c>
      <c r="J104" s="4">
        <v>45879</v>
      </c>
      <c r="K104" s="4" t="str">
        <f t="shared" si="3"/>
        <v>August</v>
      </c>
      <c r="L104" s="1" t="s">
        <v>35</v>
      </c>
      <c r="M104" s="1" t="s">
        <v>29</v>
      </c>
    </row>
    <row r="105" spans="1:13" x14ac:dyDescent="0.25">
      <c r="A105" s="1" t="s">
        <v>162</v>
      </c>
      <c r="B105" s="1" t="s">
        <v>75</v>
      </c>
      <c r="C105" s="1" t="s">
        <v>14</v>
      </c>
      <c r="D105" s="1" t="s">
        <v>59</v>
      </c>
      <c r="E105" s="1" t="s">
        <v>33</v>
      </c>
      <c r="F105" s="1" t="s">
        <v>60</v>
      </c>
      <c r="G105" s="2">
        <v>7</v>
      </c>
      <c r="H105" s="7">
        <v>397.52</v>
      </c>
      <c r="I105" s="7">
        <v>2782.64</v>
      </c>
      <c r="J105" s="4">
        <v>45906</v>
      </c>
      <c r="K105" s="4" t="str">
        <f t="shared" si="3"/>
        <v>September</v>
      </c>
      <c r="L105" s="1" t="s">
        <v>54</v>
      </c>
      <c r="M105" s="1" t="s">
        <v>25</v>
      </c>
    </row>
    <row r="106" spans="1:13" x14ac:dyDescent="0.25">
      <c r="A106" s="1" t="s">
        <v>163</v>
      </c>
      <c r="B106" s="1" t="s">
        <v>27</v>
      </c>
      <c r="C106" s="1" t="s">
        <v>14</v>
      </c>
      <c r="D106" s="1" t="s">
        <v>37</v>
      </c>
      <c r="E106" s="1" t="s">
        <v>23</v>
      </c>
      <c r="F106" s="1" t="s">
        <v>24</v>
      </c>
      <c r="G106" s="2">
        <v>7</v>
      </c>
      <c r="H106" s="7">
        <v>63.98</v>
      </c>
      <c r="I106" s="7">
        <v>447.86</v>
      </c>
      <c r="J106" s="4">
        <v>45798</v>
      </c>
      <c r="K106" s="4" t="str">
        <f t="shared" si="3"/>
        <v>May</v>
      </c>
      <c r="L106" s="1" t="s">
        <v>38</v>
      </c>
      <c r="M106" s="1" t="s">
        <v>25</v>
      </c>
    </row>
    <row r="107" spans="1:13" x14ac:dyDescent="0.25">
      <c r="A107" s="1" t="s">
        <v>164</v>
      </c>
      <c r="B107" s="1" t="s">
        <v>21</v>
      </c>
      <c r="C107" s="1" t="s">
        <v>14</v>
      </c>
      <c r="D107" s="1" t="s">
        <v>32</v>
      </c>
      <c r="E107" s="1" t="s">
        <v>33</v>
      </c>
      <c r="F107" s="1" t="s">
        <v>34</v>
      </c>
      <c r="G107" s="2">
        <v>5</v>
      </c>
      <c r="H107" s="7">
        <v>119.14</v>
      </c>
      <c r="I107" s="7">
        <v>595.70000000000005</v>
      </c>
      <c r="J107" s="4">
        <v>45870</v>
      </c>
      <c r="K107" s="4" t="str">
        <f t="shared" si="3"/>
        <v>August</v>
      </c>
      <c r="L107" s="1" t="s">
        <v>18</v>
      </c>
      <c r="M107" s="1" t="s">
        <v>25</v>
      </c>
    </row>
    <row r="108" spans="1:13" x14ac:dyDescent="0.25">
      <c r="A108" s="1" t="s">
        <v>165</v>
      </c>
      <c r="B108" s="1" t="s">
        <v>27</v>
      </c>
      <c r="C108" s="1" t="s">
        <v>14</v>
      </c>
      <c r="D108" s="1" t="s">
        <v>37</v>
      </c>
      <c r="E108" s="1" t="s">
        <v>23</v>
      </c>
      <c r="F108" s="1" t="s">
        <v>24</v>
      </c>
      <c r="G108" s="2">
        <v>1</v>
      </c>
      <c r="H108" s="7">
        <v>272.64999999999998</v>
      </c>
      <c r="I108" s="7">
        <v>272.64999999999998</v>
      </c>
      <c r="J108" s="4">
        <v>45986</v>
      </c>
      <c r="K108" s="4" t="str">
        <f t="shared" si="3"/>
        <v>November</v>
      </c>
      <c r="L108" s="1" t="s">
        <v>54</v>
      </c>
      <c r="M108" s="1" t="s">
        <v>29</v>
      </c>
    </row>
    <row r="109" spans="1:13" x14ac:dyDescent="0.25">
      <c r="A109" s="1" t="s">
        <v>166</v>
      </c>
      <c r="B109" s="1" t="s">
        <v>82</v>
      </c>
      <c r="C109" s="1" t="s">
        <v>22</v>
      </c>
      <c r="D109" s="1" t="s">
        <v>37</v>
      </c>
      <c r="E109" s="1" t="s">
        <v>44</v>
      </c>
      <c r="F109" s="1" t="s">
        <v>45</v>
      </c>
      <c r="G109" s="2">
        <v>7</v>
      </c>
      <c r="H109" s="7">
        <v>402.16</v>
      </c>
      <c r="I109" s="7">
        <v>2815.12</v>
      </c>
      <c r="J109" s="4">
        <v>45869</v>
      </c>
      <c r="K109" s="4" t="str">
        <f t="shared" si="3"/>
        <v>July</v>
      </c>
      <c r="L109" s="1" t="s">
        <v>35</v>
      </c>
      <c r="M109" s="1" t="s">
        <v>19</v>
      </c>
    </row>
    <row r="110" spans="1:13" x14ac:dyDescent="0.25">
      <c r="A110" s="1" t="s">
        <v>167</v>
      </c>
      <c r="B110" s="1" t="s">
        <v>64</v>
      </c>
      <c r="C110" s="1" t="s">
        <v>14</v>
      </c>
      <c r="D110" s="1" t="s">
        <v>68</v>
      </c>
      <c r="E110" s="1" t="s">
        <v>33</v>
      </c>
      <c r="F110" s="1" t="s">
        <v>60</v>
      </c>
      <c r="G110" s="2">
        <v>7</v>
      </c>
      <c r="H110" s="7">
        <v>223.01</v>
      </c>
      <c r="I110" s="7">
        <v>1561.07</v>
      </c>
      <c r="J110" s="4">
        <v>45988</v>
      </c>
      <c r="K110" s="4" t="str">
        <f t="shared" si="3"/>
        <v>November</v>
      </c>
      <c r="L110" s="1" t="s">
        <v>18</v>
      </c>
      <c r="M110" s="1" t="s">
        <v>29</v>
      </c>
    </row>
    <row r="111" spans="1:13" x14ac:dyDescent="0.25">
      <c r="A111" s="1" t="s">
        <v>168</v>
      </c>
      <c r="B111" s="1" t="s">
        <v>75</v>
      </c>
      <c r="C111" s="1" t="s">
        <v>14</v>
      </c>
      <c r="D111" s="1" t="s">
        <v>32</v>
      </c>
      <c r="E111" s="1" t="s">
        <v>33</v>
      </c>
      <c r="F111" s="1" t="s">
        <v>34</v>
      </c>
      <c r="G111" s="2">
        <v>10</v>
      </c>
      <c r="H111" s="7">
        <v>445.18</v>
      </c>
      <c r="I111" s="7">
        <v>4451.8</v>
      </c>
      <c r="J111" s="4">
        <v>45794</v>
      </c>
      <c r="K111" s="4" t="str">
        <f t="shared" si="3"/>
        <v>May</v>
      </c>
      <c r="L111" s="1" t="s">
        <v>38</v>
      </c>
      <c r="M111" s="1" t="s">
        <v>56</v>
      </c>
    </row>
    <row r="112" spans="1:13" x14ac:dyDescent="0.25">
      <c r="A112" s="1" t="s">
        <v>169</v>
      </c>
      <c r="B112" s="1" t="s">
        <v>82</v>
      </c>
      <c r="C112" s="1" t="s">
        <v>14</v>
      </c>
      <c r="D112" s="1" t="s">
        <v>83</v>
      </c>
      <c r="E112" s="1" t="s">
        <v>16</v>
      </c>
      <c r="F112" s="1" t="s">
        <v>17</v>
      </c>
      <c r="G112" s="2">
        <v>4</v>
      </c>
      <c r="H112" s="7">
        <v>84.83</v>
      </c>
      <c r="I112" s="7">
        <v>339.32</v>
      </c>
      <c r="J112" s="4">
        <v>45785</v>
      </c>
      <c r="K112" s="4" t="str">
        <f t="shared" si="3"/>
        <v>May</v>
      </c>
      <c r="L112" s="1" t="s">
        <v>38</v>
      </c>
      <c r="M112" s="1" t="s">
        <v>42</v>
      </c>
    </row>
    <row r="113" spans="1:13" x14ac:dyDescent="0.25">
      <c r="A113" s="1" t="s">
        <v>170</v>
      </c>
      <c r="B113" s="1" t="s">
        <v>82</v>
      </c>
      <c r="C113" s="1" t="s">
        <v>14</v>
      </c>
      <c r="D113" s="1" t="s">
        <v>59</v>
      </c>
      <c r="E113" s="1" t="s">
        <v>16</v>
      </c>
      <c r="F113" s="1" t="s">
        <v>98</v>
      </c>
      <c r="G113" s="2">
        <v>6</v>
      </c>
      <c r="H113" s="7">
        <v>468.34</v>
      </c>
      <c r="I113" s="7">
        <v>2810.04</v>
      </c>
      <c r="J113" s="4">
        <v>45750</v>
      </c>
      <c r="K113" s="4" t="str">
        <f t="shared" si="3"/>
        <v>April</v>
      </c>
      <c r="L113" s="1" t="s">
        <v>54</v>
      </c>
      <c r="M113" s="1" t="s">
        <v>25</v>
      </c>
    </row>
    <row r="114" spans="1:13" x14ac:dyDescent="0.25">
      <c r="A114" s="1" t="s">
        <v>171</v>
      </c>
      <c r="B114" s="1" t="s">
        <v>71</v>
      </c>
      <c r="C114" s="1" t="s">
        <v>22</v>
      </c>
      <c r="D114" s="1" t="s">
        <v>32</v>
      </c>
      <c r="E114" s="1" t="s">
        <v>44</v>
      </c>
      <c r="F114" s="1" t="s">
        <v>62</v>
      </c>
      <c r="G114" s="2">
        <v>2</v>
      </c>
      <c r="H114" s="7">
        <v>389.91</v>
      </c>
      <c r="I114" s="7">
        <v>779.82</v>
      </c>
      <c r="J114" s="4">
        <v>45820</v>
      </c>
      <c r="K114" s="4" t="str">
        <f t="shared" si="3"/>
        <v>June</v>
      </c>
      <c r="L114" s="1" t="s">
        <v>38</v>
      </c>
      <c r="M114" s="1" t="s">
        <v>29</v>
      </c>
    </row>
    <row r="115" spans="1:13" x14ac:dyDescent="0.25">
      <c r="A115" s="1" t="s">
        <v>172</v>
      </c>
      <c r="B115" s="1" t="s">
        <v>71</v>
      </c>
      <c r="C115" s="1" t="s">
        <v>22</v>
      </c>
      <c r="D115" s="1" t="s">
        <v>68</v>
      </c>
      <c r="E115" s="1" t="s">
        <v>16</v>
      </c>
      <c r="F115" s="1" t="s">
        <v>98</v>
      </c>
      <c r="G115" s="2">
        <v>1</v>
      </c>
      <c r="H115" s="7">
        <v>228.07</v>
      </c>
      <c r="I115" s="7">
        <v>228.07</v>
      </c>
      <c r="J115" s="4">
        <v>45911</v>
      </c>
      <c r="K115" s="4" t="str">
        <f t="shared" si="3"/>
        <v>September</v>
      </c>
      <c r="L115" s="1" t="s">
        <v>35</v>
      </c>
      <c r="M115" s="1" t="s">
        <v>19</v>
      </c>
    </row>
    <row r="116" spans="1:13" x14ac:dyDescent="0.25">
      <c r="A116" s="1" t="s">
        <v>173</v>
      </c>
      <c r="B116" s="1" t="s">
        <v>27</v>
      </c>
      <c r="C116" s="1" t="s">
        <v>22</v>
      </c>
      <c r="D116" s="1" t="s">
        <v>32</v>
      </c>
      <c r="E116" s="1" t="s">
        <v>16</v>
      </c>
      <c r="F116" s="1" t="s">
        <v>98</v>
      </c>
      <c r="G116" s="2">
        <v>3</v>
      </c>
      <c r="H116" s="7">
        <v>370.45</v>
      </c>
      <c r="I116" s="7">
        <v>1111.3499999999999</v>
      </c>
      <c r="J116" s="4">
        <v>45746</v>
      </c>
      <c r="K116" s="4" t="str">
        <f t="shared" si="3"/>
        <v>March</v>
      </c>
      <c r="L116" s="1" t="s">
        <v>18</v>
      </c>
      <c r="M116" s="1" t="s">
        <v>56</v>
      </c>
    </row>
    <row r="117" spans="1:13" x14ac:dyDescent="0.25">
      <c r="A117" s="1" t="s">
        <v>174</v>
      </c>
      <c r="B117" s="1" t="s">
        <v>75</v>
      </c>
      <c r="C117" s="1" t="s">
        <v>22</v>
      </c>
      <c r="D117" s="1" t="s">
        <v>15</v>
      </c>
      <c r="E117" s="1" t="s">
        <v>44</v>
      </c>
      <c r="F117" s="1" t="s">
        <v>45</v>
      </c>
      <c r="G117" s="2">
        <v>2</v>
      </c>
      <c r="H117" s="7">
        <v>380.94</v>
      </c>
      <c r="I117" s="7">
        <v>761.88</v>
      </c>
      <c r="J117" s="4">
        <v>45995</v>
      </c>
      <c r="K117" s="4" t="str">
        <f t="shared" si="3"/>
        <v>December</v>
      </c>
      <c r="L117" s="1" t="s">
        <v>38</v>
      </c>
      <c r="M117" s="1" t="s">
        <v>25</v>
      </c>
    </row>
    <row r="118" spans="1:13" x14ac:dyDescent="0.25">
      <c r="A118" s="1" t="s">
        <v>175</v>
      </c>
      <c r="B118" s="1" t="s">
        <v>13</v>
      </c>
      <c r="C118" s="1" t="s">
        <v>22</v>
      </c>
      <c r="D118" s="1" t="s">
        <v>32</v>
      </c>
      <c r="E118" s="1" t="s">
        <v>23</v>
      </c>
      <c r="F118" s="1" t="s">
        <v>53</v>
      </c>
      <c r="G118" s="2">
        <v>1</v>
      </c>
      <c r="H118" s="7">
        <v>367.9</v>
      </c>
      <c r="I118" s="7">
        <v>367.9</v>
      </c>
      <c r="J118" s="4">
        <v>45828</v>
      </c>
      <c r="K118" s="4" t="str">
        <f t="shared" si="3"/>
        <v>June</v>
      </c>
      <c r="L118" s="1" t="s">
        <v>35</v>
      </c>
      <c r="M118" s="1" t="s">
        <v>56</v>
      </c>
    </row>
    <row r="119" spans="1:13" x14ac:dyDescent="0.25">
      <c r="A119" s="1" t="s">
        <v>176</v>
      </c>
      <c r="B119" s="1" t="s">
        <v>21</v>
      </c>
      <c r="C119" s="1" t="s">
        <v>22</v>
      </c>
      <c r="D119" s="1" t="s">
        <v>32</v>
      </c>
      <c r="E119" s="1" t="s">
        <v>16</v>
      </c>
      <c r="F119" s="1" t="s">
        <v>115</v>
      </c>
      <c r="G119" s="2">
        <v>2</v>
      </c>
      <c r="H119" s="7">
        <v>339.16</v>
      </c>
      <c r="I119" s="7">
        <v>678.32</v>
      </c>
      <c r="J119" s="4">
        <v>45797</v>
      </c>
      <c r="K119" s="4" t="str">
        <f t="shared" si="3"/>
        <v>May</v>
      </c>
      <c r="L119" s="1" t="s">
        <v>54</v>
      </c>
      <c r="M119" s="1" t="s">
        <v>19</v>
      </c>
    </row>
    <row r="120" spans="1:13" x14ac:dyDescent="0.25">
      <c r="A120" s="1" t="s">
        <v>177</v>
      </c>
      <c r="B120" s="1" t="s">
        <v>64</v>
      </c>
      <c r="C120" s="1" t="s">
        <v>22</v>
      </c>
      <c r="D120" s="1" t="s">
        <v>32</v>
      </c>
      <c r="E120" s="1" t="s">
        <v>33</v>
      </c>
      <c r="F120" s="1" t="s">
        <v>72</v>
      </c>
      <c r="G120" s="2">
        <v>7</v>
      </c>
      <c r="H120" s="7">
        <v>437.52</v>
      </c>
      <c r="I120" s="7">
        <v>3062.64</v>
      </c>
      <c r="J120" s="4">
        <v>45801</v>
      </c>
      <c r="K120" s="4" t="str">
        <f t="shared" si="3"/>
        <v>May</v>
      </c>
      <c r="L120" s="1" t="s">
        <v>18</v>
      </c>
      <c r="M120" s="1" t="s">
        <v>19</v>
      </c>
    </row>
    <row r="121" spans="1:13" x14ac:dyDescent="0.25">
      <c r="A121" s="1" t="s">
        <v>178</v>
      </c>
      <c r="B121" s="1" t="s">
        <v>40</v>
      </c>
      <c r="C121" s="1" t="s">
        <v>14</v>
      </c>
      <c r="D121" s="1" t="s">
        <v>32</v>
      </c>
      <c r="E121" s="1" t="s">
        <v>16</v>
      </c>
      <c r="F121" s="1" t="s">
        <v>17</v>
      </c>
      <c r="G121" s="2">
        <v>2</v>
      </c>
      <c r="H121" s="7">
        <v>482.55</v>
      </c>
      <c r="I121" s="7">
        <v>965.1</v>
      </c>
      <c r="J121" s="4">
        <v>45862</v>
      </c>
      <c r="K121" s="4" t="str">
        <f t="shared" si="3"/>
        <v>July</v>
      </c>
      <c r="L121" s="1" t="s">
        <v>35</v>
      </c>
      <c r="M121" s="1" t="s">
        <v>56</v>
      </c>
    </row>
    <row r="122" spans="1:13" x14ac:dyDescent="0.25">
      <c r="A122" s="1" t="s">
        <v>179</v>
      </c>
      <c r="B122" s="1" t="s">
        <v>64</v>
      </c>
      <c r="C122" s="1" t="s">
        <v>22</v>
      </c>
      <c r="D122" s="1" t="s">
        <v>83</v>
      </c>
      <c r="E122" s="1" t="s">
        <v>33</v>
      </c>
      <c r="F122" s="1" t="s">
        <v>60</v>
      </c>
      <c r="G122" s="2">
        <v>9</v>
      </c>
      <c r="H122" s="7">
        <v>36.08</v>
      </c>
      <c r="I122" s="7">
        <v>324.72000000000003</v>
      </c>
      <c r="J122" s="4">
        <v>45890</v>
      </c>
      <c r="K122" s="4" t="str">
        <f t="shared" si="3"/>
        <v>August</v>
      </c>
      <c r="L122" s="1" t="s">
        <v>54</v>
      </c>
      <c r="M122" s="1" t="s">
        <v>19</v>
      </c>
    </row>
    <row r="123" spans="1:13" x14ac:dyDescent="0.25">
      <c r="A123" s="1" t="s">
        <v>180</v>
      </c>
      <c r="B123" s="1" t="s">
        <v>75</v>
      </c>
      <c r="C123" s="1" t="s">
        <v>14</v>
      </c>
      <c r="D123" s="1" t="s">
        <v>83</v>
      </c>
      <c r="E123" s="1" t="s">
        <v>16</v>
      </c>
      <c r="F123" s="1" t="s">
        <v>17</v>
      </c>
      <c r="G123" s="2">
        <v>2</v>
      </c>
      <c r="H123" s="7">
        <v>106.88</v>
      </c>
      <c r="I123" s="7">
        <v>213.76</v>
      </c>
      <c r="J123" s="4">
        <v>45678</v>
      </c>
      <c r="K123" s="4" t="str">
        <f t="shared" si="3"/>
        <v>January</v>
      </c>
      <c r="L123" s="1" t="s">
        <v>54</v>
      </c>
      <c r="M123" s="1" t="s">
        <v>56</v>
      </c>
    </row>
    <row r="124" spans="1:13" x14ac:dyDescent="0.25">
      <c r="A124" s="1" t="s">
        <v>181</v>
      </c>
      <c r="B124" s="1" t="s">
        <v>71</v>
      </c>
      <c r="C124" s="1" t="s">
        <v>14</v>
      </c>
      <c r="D124" s="1" t="s">
        <v>37</v>
      </c>
      <c r="E124" s="1" t="s">
        <v>33</v>
      </c>
      <c r="F124" s="1" t="s">
        <v>72</v>
      </c>
      <c r="G124" s="2">
        <v>10</v>
      </c>
      <c r="H124" s="7">
        <v>483.64</v>
      </c>
      <c r="I124" s="7">
        <v>4836.3999999999996</v>
      </c>
      <c r="J124" s="4">
        <v>45828</v>
      </c>
      <c r="K124" s="4" t="str">
        <f t="shared" si="3"/>
        <v>June</v>
      </c>
      <c r="L124" s="1" t="s">
        <v>18</v>
      </c>
      <c r="M124" s="1" t="s">
        <v>29</v>
      </c>
    </row>
    <row r="125" spans="1:13" x14ac:dyDescent="0.25">
      <c r="A125" s="1" t="s">
        <v>182</v>
      </c>
      <c r="B125" s="1" t="s">
        <v>75</v>
      </c>
      <c r="C125" s="1" t="s">
        <v>22</v>
      </c>
      <c r="D125" s="1" t="s">
        <v>83</v>
      </c>
      <c r="E125" s="1" t="s">
        <v>44</v>
      </c>
      <c r="F125" s="1" t="s">
        <v>45</v>
      </c>
      <c r="G125" s="2">
        <v>2</v>
      </c>
      <c r="H125" s="7">
        <v>406.8</v>
      </c>
      <c r="I125" s="7">
        <v>813.6</v>
      </c>
      <c r="J125" s="4">
        <v>45770</v>
      </c>
      <c r="K125" s="4" t="str">
        <f t="shared" si="3"/>
        <v>April</v>
      </c>
      <c r="L125" s="1" t="s">
        <v>18</v>
      </c>
      <c r="M125" s="1" t="s">
        <v>56</v>
      </c>
    </row>
    <row r="126" spans="1:13" x14ac:dyDescent="0.25">
      <c r="A126" s="1" t="s">
        <v>183</v>
      </c>
      <c r="B126" s="1" t="s">
        <v>75</v>
      </c>
      <c r="C126" s="1" t="s">
        <v>14</v>
      </c>
      <c r="D126" s="1" t="s">
        <v>37</v>
      </c>
      <c r="E126" s="1" t="s">
        <v>44</v>
      </c>
      <c r="F126" s="1" t="s">
        <v>45</v>
      </c>
      <c r="G126" s="2">
        <v>8</v>
      </c>
      <c r="H126" s="7">
        <v>280.62</v>
      </c>
      <c r="I126" s="7">
        <v>2244.96</v>
      </c>
      <c r="J126" s="4">
        <v>45918</v>
      </c>
      <c r="K126" s="4" t="str">
        <f t="shared" si="3"/>
        <v>September</v>
      </c>
      <c r="L126" s="1" t="s">
        <v>35</v>
      </c>
      <c r="M126" s="1" t="s">
        <v>19</v>
      </c>
    </row>
    <row r="127" spans="1:13" x14ac:dyDescent="0.25">
      <c r="A127" s="1" t="s">
        <v>184</v>
      </c>
      <c r="B127" s="1" t="s">
        <v>71</v>
      </c>
      <c r="C127" s="1" t="s">
        <v>22</v>
      </c>
      <c r="D127" s="1" t="s">
        <v>59</v>
      </c>
      <c r="E127" s="1" t="s">
        <v>33</v>
      </c>
      <c r="F127" s="1" t="s">
        <v>34</v>
      </c>
      <c r="G127" s="2">
        <v>4</v>
      </c>
      <c r="H127" s="7">
        <v>499.98</v>
      </c>
      <c r="I127" s="7">
        <v>1999.92</v>
      </c>
      <c r="J127" s="4">
        <v>45952</v>
      </c>
      <c r="K127" s="4" t="str">
        <f t="shared" si="3"/>
        <v>October</v>
      </c>
      <c r="L127" s="1" t="s">
        <v>18</v>
      </c>
      <c r="M127" s="1" t="s">
        <v>25</v>
      </c>
    </row>
    <row r="128" spans="1:13" x14ac:dyDescent="0.25">
      <c r="A128" s="1" t="s">
        <v>185</v>
      </c>
      <c r="B128" s="1" t="s">
        <v>31</v>
      </c>
      <c r="C128" s="1" t="s">
        <v>14</v>
      </c>
      <c r="D128" s="1" t="s">
        <v>83</v>
      </c>
      <c r="E128" s="1" t="s">
        <v>44</v>
      </c>
      <c r="F128" s="1" t="s">
        <v>91</v>
      </c>
      <c r="G128" s="2">
        <v>6</v>
      </c>
      <c r="H128" s="7">
        <v>72.72</v>
      </c>
      <c r="I128" s="7">
        <v>436.32</v>
      </c>
      <c r="J128" s="4">
        <v>45879</v>
      </c>
      <c r="K128" s="4" t="str">
        <f t="shared" si="3"/>
        <v>August</v>
      </c>
      <c r="L128" s="1" t="s">
        <v>35</v>
      </c>
      <c r="M128" s="1" t="s">
        <v>42</v>
      </c>
    </row>
    <row r="129" spans="1:13" x14ac:dyDescent="0.25">
      <c r="A129" s="1" t="s">
        <v>186</v>
      </c>
      <c r="B129" s="1" t="s">
        <v>13</v>
      </c>
      <c r="C129" s="1" t="s">
        <v>22</v>
      </c>
      <c r="D129" s="1" t="s">
        <v>59</v>
      </c>
      <c r="E129" s="1" t="s">
        <v>23</v>
      </c>
      <c r="F129" s="1" t="s">
        <v>53</v>
      </c>
      <c r="G129" s="2">
        <v>8</v>
      </c>
      <c r="H129" s="7">
        <v>35.67</v>
      </c>
      <c r="I129" s="7">
        <v>285.36</v>
      </c>
      <c r="J129" s="4">
        <v>45764</v>
      </c>
      <c r="K129" s="4" t="str">
        <f t="shared" si="3"/>
        <v>April</v>
      </c>
      <c r="L129" s="1" t="s">
        <v>18</v>
      </c>
      <c r="M129" s="1" t="s">
        <v>56</v>
      </c>
    </row>
    <row r="130" spans="1:13" x14ac:dyDescent="0.25">
      <c r="A130" s="1" t="s">
        <v>187</v>
      </c>
      <c r="B130" s="1" t="s">
        <v>40</v>
      </c>
      <c r="C130" s="1" t="s">
        <v>14</v>
      </c>
      <c r="D130" s="1" t="s">
        <v>83</v>
      </c>
      <c r="E130" s="1" t="s">
        <v>33</v>
      </c>
      <c r="F130" s="1" t="s">
        <v>72</v>
      </c>
      <c r="G130" s="2">
        <v>2</v>
      </c>
      <c r="H130" s="7">
        <v>249.05</v>
      </c>
      <c r="I130" s="7">
        <v>498.1</v>
      </c>
      <c r="J130" s="4">
        <v>45921</v>
      </c>
      <c r="K130" s="4" t="str">
        <f t="shared" ref="K130:K151" si="4">TEXT(J130,"MMMM")</f>
        <v>September</v>
      </c>
      <c r="L130" s="1" t="s">
        <v>35</v>
      </c>
      <c r="M130" s="1" t="s">
        <v>42</v>
      </c>
    </row>
    <row r="131" spans="1:13" x14ac:dyDescent="0.25">
      <c r="A131" s="1" t="s">
        <v>188</v>
      </c>
      <c r="B131" s="1" t="s">
        <v>13</v>
      </c>
      <c r="C131" s="1" t="s">
        <v>14</v>
      </c>
      <c r="D131" s="1" t="s">
        <v>28</v>
      </c>
      <c r="E131" s="1" t="s">
        <v>44</v>
      </c>
      <c r="F131" s="1" t="s">
        <v>45</v>
      </c>
      <c r="G131" s="2">
        <v>9</v>
      </c>
      <c r="H131" s="7">
        <v>12.52</v>
      </c>
      <c r="I131" s="7">
        <v>112.68</v>
      </c>
      <c r="J131" s="4">
        <v>45722</v>
      </c>
      <c r="K131" s="4" t="str">
        <f t="shared" si="4"/>
        <v>March</v>
      </c>
      <c r="L131" s="1" t="s">
        <v>18</v>
      </c>
      <c r="M131" s="1" t="s">
        <v>42</v>
      </c>
    </row>
    <row r="132" spans="1:13" x14ac:dyDescent="0.25">
      <c r="A132" s="1" t="s">
        <v>189</v>
      </c>
      <c r="B132" s="1" t="s">
        <v>40</v>
      </c>
      <c r="C132" s="1" t="s">
        <v>14</v>
      </c>
      <c r="D132" s="1" t="s">
        <v>15</v>
      </c>
      <c r="E132" s="1" t="s">
        <v>44</v>
      </c>
      <c r="F132" s="1" t="s">
        <v>91</v>
      </c>
      <c r="G132" s="2">
        <v>5</v>
      </c>
      <c r="H132" s="7">
        <v>55.21</v>
      </c>
      <c r="I132" s="7">
        <v>276.05</v>
      </c>
      <c r="J132" s="4">
        <v>45753</v>
      </c>
      <c r="K132" s="4" t="str">
        <f t="shared" si="4"/>
        <v>April</v>
      </c>
      <c r="L132" s="1" t="s">
        <v>18</v>
      </c>
      <c r="M132" s="1" t="s">
        <v>29</v>
      </c>
    </row>
    <row r="133" spans="1:13" x14ac:dyDescent="0.25">
      <c r="A133" s="1" t="s">
        <v>190</v>
      </c>
      <c r="B133" s="1" t="s">
        <v>27</v>
      </c>
      <c r="C133" s="1" t="s">
        <v>14</v>
      </c>
      <c r="D133" s="1" t="s">
        <v>68</v>
      </c>
      <c r="E133" s="1" t="s">
        <v>44</v>
      </c>
      <c r="F133" s="1" t="s">
        <v>45</v>
      </c>
      <c r="G133" s="2">
        <v>4</v>
      </c>
      <c r="H133" s="7">
        <v>78.290000000000006</v>
      </c>
      <c r="I133" s="7">
        <v>313.16000000000003</v>
      </c>
      <c r="J133" s="4">
        <v>45879</v>
      </c>
      <c r="K133" s="4" t="str">
        <f t="shared" si="4"/>
        <v>August</v>
      </c>
      <c r="L133" s="1" t="s">
        <v>38</v>
      </c>
      <c r="M133" s="1" t="s">
        <v>29</v>
      </c>
    </row>
    <row r="134" spans="1:13" x14ac:dyDescent="0.25">
      <c r="A134" s="1" t="s">
        <v>191</v>
      </c>
      <c r="B134" s="1" t="s">
        <v>40</v>
      </c>
      <c r="C134" s="1" t="s">
        <v>14</v>
      </c>
      <c r="D134" s="1" t="s">
        <v>83</v>
      </c>
      <c r="E134" s="1" t="s">
        <v>33</v>
      </c>
      <c r="F134" s="1" t="s">
        <v>72</v>
      </c>
      <c r="G134" s="2">
        <v>6</v>
      </c>
      <c r="H134" s="7">
        <v>138.63999999999999</v>
      </c>
      <c r="I134" s="7">
        <v>831.84</v>
      </c>
      <c r="J134" s="4">
        <v>45846</v>
      </c>
      <c r="K134" s="4" t="str">
        <f t="shared" si="4"/>
        <v>July</v>
      </c>
      <c r="L134" s="1" t="s">
        <v>35</v>
      </c>
      <c r="M134" s="1" t="s">
        <v>42</v>
      </c>
    </row>
    <row r="135" spans="1:13" x14ac:dyDescent="0.25">
      <c r="A135" s="1" t="s">
        <v>192</v>
      </c>
      <c r="B135" s="1" t="s">
        <v>21</v>
      </c>
      <c r="C135" s="1" t="s">
        <v>22</v>
      </c>
      <c r="D135" s="1" t="s">
        <v>37</v>
      </c>
      <c r="E135" s="1" t="s">
        <v>44</v>
      </c>
      <c r="F135" s="1" t="s">
        <v>45</v>
      </c>
      <c r="G135" s="2">
        <v>7</v>
      </c>
      <c r="H135" s="7">
        <v>89.64</v>
      </c>
      <c r="I135" s="7">
        <v>627.48</v>
      </c>
      <c r="J135" s="4">
        <v>45787</v>
      </c>
      <c r="K135" s="4" t="str">
        <f t="shared" si="4"/>
        <v>May</v>
      </c>
      <c r="L135" s="1" t="s">
        <v>18</v>
      </c>
      <c r="M135" s="1" t="s">
        <v>42</v>
      </c>
    </row>
    <row r="136" spans="1:13" x14ac:dyDescent="0.25">
      <c r="A136" s="1" t="s">
        <v>193</v>
      </c>
      <c r="B136" s="1" t="s">
        <v>21</v>
      </c>
      <c r="C136" s="1" t="s">
        <v>22</v>
      </c>
      <c r="D136" s="1" t="s">
        <v>15</v>
      </c>
      <c r="E136" s="1" t="s">
        <v>23</v>
      </c>
      <c r="F136" s="1" t="s">
        <v>53</v>
      </c>
      <c r="G136" s="2">
        <v>6</v>
      </c>
      <c r="H136" s="7">
        <v>375.54</v>
      </c>
      <c r="I136" s="7">
        <v>2253.2399999999998</v>
      </c>
      <c r="J136" s="4">
        <v>45928</v>
      </c>
      <c r="K136" s="4" t="str">
        <f t="shared" si="4"/>
        <v>September</v>
      </c>
      <c r="L136" s="1" t="s">
        <v>54</v>
      </c>
      <c r="M136" s="1" t="s">
        <v>25</v>
      </c>
    </row>
    <row r="137" spans="1:13" x14ac:dyDescent="0.25">
      <c r="A137" s="1" t="s">
        <v>194</v>
      </c>
      <c r="B137" s="1" t="s">
        <v>64</v>
      </c>
      <c r="C137" s="1" t="s">
        <v>14</v>
      </c>
      <c r="D137" s="1" t="s">
        <v>37</v>
      </c>
      <c r="E137" s="1" t="s">
        <v>33</v>
      </c>
      <c r="F137" s="1" t="s">
        <v>60</v>
      </c>
      <c r="G137" s="2">
        <v>7</v>
      </c>
      <c r="H137" s="7">
        <v>211.29</v>
      </c>
      <c r="I137" s="7">
        <v>1479.03</v>
      </c>
      <c r="J137" s="4">
        <v>45793</v>
      </c>
      <c r="K137" s="4" t="str">
        <f t="shared" si="4"/>
        <v>May</v>
      </c>
      <c r="L137" s="1" t="s">
        <v>18</v>
      </c>
      <c r="M137" s="1" t="s">
        <v>19</v>
      </c>
    </row>
    <row r="138" spans="1:13" x14ac:dyDescent="0.25">
      <c r="A138" s="1" t="s">
        <v>195</v>
      </c>
      <c r="B138" s="1" t="s">
        <v>27</v>
      </c>
      <c r="C138" s="1" t="s">
        <v>22</v>
      </c>
      <c r="D138" s="1" t="s">
        <v>83</v>
      </c>
      <c r="E138" s="1" t="s">
        <v>44</v>
      </c>
      <c r="F138" s="1" t="s">
        <v>91</v>
      </c>
      <c r="G138" s="2">
        <v>8</v>
      </c>
      <c r="H138" s="7">
        <v>427.17</v>
      </c>
      <c r="I138" s="7">
        <v>3417.36</v>
      </c>
      <c r="J138" s="4">
        <v>45873</v>
      </c>
      <c r="K138" s="4" t="str">
        <f t="shared" si="4"/>
        <v>August</v>
      </c>
      <c r="L138" s="1" t="s">
        <v>35</v>
      </c>
      <c r="M138" s="1" t="s">
        <v>42</v>
      </c>
    </row>
    <row r="139" spans="1:13" x14ac:dyDescent="0.25">
      <c r="A139" s="1" t="s">
        <v>196</v>
      </c>
      <c r="B139" s="1" t="s">
        <v>71</v>
      </c>
      <c r="C139" s="1" t="s">
        <v>22</v>
      </c>
      <c r="D139" s="1" t="s">
        <v>32</v>
      </c>
      <c r="E139" s="1" t="s">
        <v>16</v>
      </c>
      <c r="F139" s="1" t="s">
        <v>17</v>
      </c>
      <c r="G139" s="2">
        <v>8</v>
      </c>
      <c r="H139" s="7">
        <v>477.69</v>
      </c>
      <c r="I139" s="7">
        <v>3821.52</v>
      </c>
      <c r="J139" s="4">
        <v>45801</v>
      </c>
      <c r="K139" s="4" t="str">
        <f t="shared" si="4"/>
        <v>May</v>
      </c>
      <c r="L139" s="1" t="s">
        <v>38</v>
      </c>
      <c r="M139" s="1" t="s">
        <v>56</v>
      </c>
    </row>
    <row r="140" spans="1:13" x14ac:dyDescent="0.25">
      <c r="A140" s="1" t="s">
        <v>197</v>
      </c>
      <c r="B140" s="1" t="s">
        <v>75</v>
      </c>
      <c r="C140" s="1" t="s">
        <v>14</v>
      </c>
      <c r="D140" s="1" t="s">
        <v>37</v>
      </c>
      <c r="E140" s="1" t="s">
        <v>33</v>
      </c>
      <c r="F140" s="1" t="s">
        <v>72</v>
      </c>
      <c r="G140" s="2">
        <v>10</v>
      </c>
      <c r="H140" s="7">
        <v>295.62</v>
      </c>
      <c r="I140" s="7">
        <v>2956.2</v>
      </c>
      <c r="J140" s="4">
        <v>46018</v>
      </c>
      <c r="K140" s="4" t="str">
        <f t="shared" si="4"/>
        <v>December</v>
      </c>
      <c r="L140" s="1" t="s">
        <v>18</v>
      </c>
      <c r="M140" s="1" t="s">
        <v>19</v>
      </c>
    </row>
    <row r="141" spans="1:13" x14ac:dyDescent="0.25">
      <c r="A141" s="1" t="s">
        <v>198</v>
      </c>
      <c r="B141" s="1" t="s">
        <v>82</v>
      </c>
      <c r="C141" s="1" t="s">
        <v>14</v>
      </c>
      <c r="D141" s="1" t="s">
        <v>37</v>
      </c>
      <c r="E141" s="1" t="s">
        <v>33</v>
      </c>
      <c r="F141" s="1" t="s">
        <v>60</v>
      </c>
      <c r="G141" s="2">
        <v>6</v>
      </c>
      <c r="H141" s="7">
        <v>392.89</v>
      </c>
      <c r="I141" s="7">
        <v>2357.34</v>
      </c>
      <c r="J141" s="4">
        <v>45735</v>
      </c>
      <c r="K141" s="4" t="str">
        <f t="shared" si="4"/>
        <v>March</v>
      </c>
      <c r="L141" s="1" t="s">
        <v>35</v>
      </c>
      <c r="M141" s="1" t="s">
        <v>56</v>
      </c>
    </row>
    <row r="142" spans="1:13" x14ac:dyDescent="0.25">
      <c r="A142" s="1" t="s">
        <v>199</v>
      </c>
      <c r="B142" s="1" t="s">
        <v>82</v>
      </c>
      <c r="C142" s="1" t="s">
        <v>14</v>
      </c>
      <c r="D142" s="1" t="s">
        <v>28</v>
      </c>
      <c r="E142" s="1" t="s">
        <v>44</v>
      </c>
      <c r="F142" s="1" t="s">
        <v>91</v>
      </c>
      <c r="G142" s="2">
        <v>9</v>
      </c>
      <c r="H142" s="7">
        <v>429.2</v>
      </c>
      <c r="I142" s="7">
        <v>3862.8</v>
      </c>
      <c r="J142" s="4">
        <v>45873</v>
      </c>
      <c r="K142" s="4" t="str">
        <f t="shared" si="4"/>
        <v>August</v>
      </c>
      <c r="L142" s="1" t="s">
        <v>18</v>
      </c>
      <c r="M142" s="1" t="s">
        <v>42</v>
      </c>
    </row>
    <row r="143" spans="1:13" x14ac:dyDescent="0.25">
      <c r="A143" s="1" t="s">
        <v>200</v>
      </c>
      <c r="B143" s="1" t="s">
        <v>82</v>
      </c>
      <c r="C143" s="1" t="s">
        <v>22</v>
      </c>
      <c r="D143" s="1" t="s">
        <v>32</v>
      </c>
      <c r="E143" s="1" t="s">
        <v>16</v>
      </c>
      <c r="F143" s="1" t="s">
        <v>98</v>
      </c>
      <c r="G143" s="2">
        <v>6</v>
      </c>
      <c r="H143" s="7">
        <v>125.01</v>
      </c>
      <c r="I143" s="7">
        <v>750.06</v>
      </c>
      <c r="J143" s="4">
        <v>45798</v>
      </c>
      <c r="K143" s="4" t="str">
        <f t="shared" si="4"/>
        <v>May</v>
      </c>
      <c r="L143" s="1" t="s">
        <v>54</v>
      </c>
      <c r="M143" s="1" t="s">
        <v>25</v>
      </c>
    </row>
    <row r="144" spans="1:13" x14ac:dyDescent="0.25">
      <c r="A144" s="1" t="s">
        <v>201</v>
      </c>
      <c r="B144" s="1" t="s">
        <v>40</v>
      </c>
      <c r="C144" s="1" t="s">
        <v>22</v>
      </c>
      <c r="D144" s="1" t="s">
        <v>59</v>
      </c>
      <c r="E144" s="1" t="s">
        <v>23</v>
      </c>
      <c r="F144" s="1" t="s">
        <v>48</v>
      </c>
      <c r="G144" s="2">
        <v>7</v>
      </c>
      <c r="H144" s="7">
        <v>256.99</v>
      </c>
      <c r="I144" s="7">
        <v>1798.93</v>
      </c>
      <c r="J144" s="4">
        <v>45875</v>
      </c>
      <c r="K144" s="4" t="str">
        <f t="shared" si="4"/>
        <v>August</v>
      </c>
      <c r="L144" s="1" t="s">
        <v>18</v>
      </c>
      <c r="M144" s="1" t="s">
        <v>42</v>
      </c>
    </row>
    <row r="145" spans="1:13" x14ac:dyDescent="0.25">
      <c r="A145" s="1" t="s">
        <v>202</v>
      </c>
      <c r="B145" s="1" t="s">
        <v>21</v>
      </c>
      <c r="C145" s="1" t="s">
        <v>14</v>
      </c>
      <c r="D145" s="1" t="s">
        <v>59</v>
      </c>
      <c r="E145" s="1" t="s">
        <v>44</v>
      </c>
      <c r="F145" s="1" t="s">
        <v>62</v>
      </c>
      <c r="G145" s="2">
        <v>3</v>
      </c>
      <c r="H145" s="7">
        <v>378.03</v>
      </c>
      <c r="I145" s="7">
        <v>1134.0899999999999</v>
      </c>
      <c r="J145" s="4">
        <v>45876</v>
      </c>
      <c r="K145" s="4" t="str">
        <f t="shared" si="4"/>
        <v>August</v>
      </c>
      <c r="L145" s="1" t="s">
        <v>18</v>
      </c>
      <c r="M145" s="1" t="s">
        <v>25</v>
      </c>
    </row>
    <row r="146" spans="1:13" x14ac:dyDescent="0.25">
      <c r="A146" s="1" t="s">
        <v>203</v>
      </c>
      <c r="B146" s="1" t="s">
        <v>64</v>
      </c>
      <c r="C146" s="1" t="s">
        <v>22</v>
      </c>
      <c r="D146" s="1" t="s">
        <v>68</v>
      </c>
      <c r="E146" s="1" t="s">
        <v>44</v>
      </c>
      <c r="F146" s="1" t="s">
        <v>45</v>
      </c>
      <c r="G146" s="2">
        <v>5</v>
      </c>
      <c r="H146" s="7">
        <v>245.06</v>
      </c>
      <c r="I146" s="7">
        <v>1225.3</v>
      </c>
      <c r="J146" s="4">
        <v>45785</v>
      </c>
      <c r="K146" s="4" t="str">
        <f t="shared" si="4"/>
        <v>May</v>
      </c>
      <c r="L146" s="1" t="s">
        <v>18</v>
      </c>
      <c r="M146" s="1" t="s">
        <v>42</v>
      </c>
    </row>
    <row r="147" spans="1:13" x14ac:dyDescent="0.25">
      <c r="A147" s="1" t="s">
        <v>204</v>
      </c>
      <c r="B147" s="1" t="s">
        <v>71</v>
      </c>
      <c r="C147" s="1" t="s">
        <v>14</v>
      </c>
      <c r="D147" s="1" t="s">
        <v>68</v>
      </c>
      <c r="E147" s="1" t="s">
        <v>33</v>
      </c>
      <c r="F147" s="1" t="s">
        <v>34</v>
      </c>
      <c r="G147" s="2">
        <v>1</v>
      </c>
      <c r="H147" s="7">
        <v>383.51</v>
      </c>
      <c r="I147" s="7">
        <v>383.51</v>
      </c>
      <c r="J147" s="4">
        <v>45795</v>
      </c>
      <c r="K147" s="4" t="str">
        <f t="shared" si="4"/>
        <v>May</v>
      </c>
      <c r="L147" s="1" t="s">
        <v>35</v>
      </c>
      <c r="M147" s="1" t="s">
        <v>29</v>
      </c>
    </row>
    <row r="148" spans="1:13" x14ac:dyDescent="0.25">
      <c r="A148" s="1" t="s">
        <v>205</v>
      </c>
      <c r="B148" s="1" t="s">
        <v>27</v>
      </c>
      <c r="C148" s="1" t="s">
        <v>22</v>
      </c>
      <c r="D148" s="1" t="s">
        <v>83</v>
      </c>
      <c r="E148" s="1" t="s">
        <v>44</v>
      </c>
      <c r="F148" s="1" t="s">
        <v>91</v>
      </c>
      <c r="G148" s="2">
        <v>6</v>
      </c>
      <c r="H148" s="7">
        <v>158.94</v>
      </c>
      <c r="I148" s="7">
        <v>953.64</v>
      </c>
      <c r="J148" s="4">
        <v>45735</v>
      </c>
      <c r="K148" s="4" t="str">
        <f t="shared" si="4"/>
        <v>March</v>
      </c>
      <c r="L148" s="1" t="s">
        <v>38</v>
      </c>
      <c r="M148" s="1" t="s">
        <v>25</v>
      </c>
    </row>
    <row r="149" spans="1:13" x14ac:dyDescent="0.25">
      <c r="A149" s="1" t="s">
        <v>206</v>
      </c>
      <c r="B149" s="1" t="s">
        <v>82</v>
      </c>
      <c r="C149" s="1" t="s">
        <v>22</v>
      </c>
      <c r="D149" s="1" t="s">
        <v>37</v>
      </c>
      <c r="E149" s="1" t="s">
        <v>16</v>
      </c>
      <c r="F149" s="1" t="s">
        <v>17</v>
      </c>
      <c r="G149" s="2">
        <v>8</v>
      </c>
      <c r="H149" s="7">
        <v>428.8</v>
      </c>
      <c r="I149" s="7">
        <v>3430.4</v>
      </c>
      <c r="J149" s="4">
        <v>45794</v>
      </c>
      <c r="K149" s="4" t="str">
        <f t="shared" si="4"/>
        <v>May</v>
      </c>
      <c r="L149" s="1" t="s">
        <v>35</v>
      </c>
      <c r="M149" s="1" t="s">
        <v>29</v>
      </c>
    </row>
    <row r="150" spans="1:13" x14ac:dyDescent="0.25">
      <c r="A150" s="1" t="s">
        <v>207</v>
      </c>
      <c r="B150" s="1" t="s">
        <v>75</v>
      </c>
      <c r="C150" s="1" t="s">
        <v>14</v>
      </c>
      <c r="D150" s="1" t="s">
        <v>32</v>
      </c>
      <c r="E150" s="1" t="s">
        <v>16</v>
      </c>
      <c r="F150" s="1" t="s">
        <v>17</v>
      </c>
      <c r="G150" s="2">
        <v>9</v>
      </c>
      <c r="H150" s="7">
        <v>378.21</v>
      </c>
      <c r="I150" s="7">
        <v>3403.89</v>
      </c>
      <c r="J150" s="4">
        <v>45940</v>
      </c>
      <c r="K150" s="4" t="str">
        <f t="shared" si="4"/>
        <v>October</v>
      </c>
      <c r="L150" s="1" t="s">
        <v>54</v>
      </c>
      <c r="M150" s="1" t="s">
        <v>56</v>
      </c>
    </row>
    <row r="151" spans="1:13" x14ac:dyDescent="0.25">
      <c r="A151" s="1" t="s">
        <v>208</v>
      </c>
      <c r="B151" s="1" t="s">
        <v>47</v>
      </c>
      <c r="C151" s="1" t="s">
        <v>22</v>
      </c>
      <c r="D151" s="1" t="s">
        <v>37</v>
      </c>
      <c r="E151" s="1" t="s">
        <v>44</v>
      </c>
      <c r="F151" s="1" t="s">
        <v>62</v>
      </c>
      <c r="G151" s="2">
        <v>3</v>
      </c>
      <c r="H151" s="7">
        <v>407.66</v>
      </c>
      <c r="I151" s="7">
        <v>1222.98</v>
      </c>
      <c r="J151" s="4">
        <v>45987</v>
      </c>
      <c r="K151" s="4" t="str">
        <f t="shared" si="4"/>
        <v>November</v>
      </c>
      <c r="L151" s="1" t="s">
        <v>35</v>
      </c>
      <c r="M151" s="1" t="s">
        <v>25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98CFB-982F-49E9-B172-2F101059DE2F}">
  <dimension ref="A1"/>
  <sheetViews>
    <sheetView workbookViewId="0">
      <selection activeCell="N9" sqref="N9"/>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 </vt:lpstr>
      <vt:lpstr>raw data </vt:lpstr>
      <vt:lpstr>real pivot table</vt:lpstr>
      <vt:lpstr>Dashboard </vt:lpstr>
      <vt:lpstr>DASHBOARD 2</vt:lpstr>
      <vt:lpstr>raw data 2</vt:lpstr>
      <vt:lpstr>icon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adewoyinjemima@outlook.com</dc:creator>
  <cp:lastModifiedBy>adewoyinjemima@outlook.com</cp:lastModifiedBy>
  <cp:lastPrinted>2026-09-23T17:10:54Z</cp:lastPrinted>
  <dcterms:created xsi:type="dcterms:W3CDTF">2026-09-19T14:42:29Z</dcterms:created>
  <dcterms:modified xsi:type="dcterms:W3CDTF">2026-09-28T19:10:03Z</dcterms:modified>
</cp:coreProperties>
</file>